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backupFile="1" defaultThemeVersion="124226"/>
  <mc:AlternateContent xmlns:mc="http://schemas.openxmlformats.org/markup-compatibility/2006">
    <mc:Choice Requires="x15">
      <x15ac:absPath xmlns:x15ac="http://schemas.microsoft.com/office/spreadsheetml/2010/11/ac" url="E:\Portfolio\Excel\"/>
    </mc:Choice>
  </mc:AlternateContent>
  <xr:revisionPtr revIDLastSave="0" documentId="13_ncr:10000001_{3B8DAE1A-2BC3-49AB-95BD-A3C593093F4C}" xr6:coauthVersionLast="47" xr6:coauthVersionMax="47" xr10:uidLastSave="{00000000-0000-0000-0000-000000000000}"/>
  <bookViews>
    <workbookView xWindow="-108" yWindow="-108" windowWidth="23256" windowHeight="12456" activeTab="2" xr2:uid="{00000000-000D-0000-FFFF-FFFF00000000}"/>
  </bookViews>
  <sheets>
    <sheet name="bazar" sheetId="1" r:id="rId1"/>
    <sheet name="Sheet1" sheetId="3" r:id="rId2"/>
    <sheet name="škola" sheetId="2" r:id="rId3"/>
  </sheets>
  <definedNames>
    <definedName name="bazar">bazar!$A$1:$I$61</definedName>
    <definedName name="Slicer_Column1">#N/A</definedName>
    <definedName name="Slicer_MISTO_NAR">#N/A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2" i="2" l="1"/>
  <c r="G532" i="2"/>
  <c r="J531" i="2"/>
  <c r="G531" i="2"/>
  <c r="J530" i="2"/>
  <c r="G530" i="2"/>
  <c r="J529" i="2"/>
  <c r="G529" i="2"/>
  <c r="J528" i="2"/>
  <c r="G528" i="2"/>
  <c r="J527" i="2"/>
  <c r="G527" i="2"/>
  <c r="J526" i="2"/>
  <c r="G526" i="2"/>
  <c r="J525" i="2"/>
  <c r="G525" i="2"/>
  <c r="J524" i="2"/>
  <c r="G524" i="2"/>
  <c r="J523" i="2"/>
  <c r="G523" i="2"/>
  <c r="J522" i="2"/>
  <c r="G522" i="2"/>
  <c r="J521" i="2"/>
  <c r="G521" i="2"/>
  <c r="J520" i="2"/>
  <c r="G520" i="2"/>
  <c r="J519" i="2"/>
  <c r="G519" i="2"/>
  <c r="J518" i="2"/>
  <c r="G518" i="2"/>
  <c r="J517" i="2"/>
  <c r="G517" i="2"/>
  <c r="J516" i="2"/>
  <c r="G516" i="2"/>
  <c r="J515" i="2"/>
  <c r="G515" i="2"/>
  <c r="J514" i="2"/>
  <c r="G514" i="2"/>
  <c r="J513" i="2"/>
  <c r="G513" i="2"/>
  <c r="J512" i="2"/>
  <c r="G512" i="2"/>
  <c r="J511" i="2"/>
  <c r="G511" i="2"/>
  <c r="J510" i="2"/>
  <c r="G510" i="2"/>
  <c r="J509" i="2"/>
  <c r="G509" i="2"/>
  <c r="J508" i="2"/>
  <c r="G508" i="2"/>
  <c r="J507" i="2"/>
  <c r="G507" i="2"/>
  <c r="J506" i="2"/>
  <c r="G506" i="2"/>
  <c r="J505" i="2"/>
  <c r="G505" i="2"/>
  <c r="J504" i="2"/>
  <c r="G504" i="2"/>
  <c r="J503" i="2"/>
  <c r="G503" i="2"/>
  <c r="J502" i="2"/>
  <c r="G502" i="2"/>
  <c r="J501" i="2"/>
  <c r="G501" i="2"/>
  <c r="J500" i="2"/>
  <c r="G500" i="2"/>
  <c r="J499" i="2"/>
  <c r="G499" i="2"/>
  <c r="J498" i="2"/>
  <c r="G498" i="2"/>
  <c r="J497" i="2"/>
  <c r="G497" i="2"/>
  <c r="J496" i="2"/>
  <c r="G496" i="2"/>
  <c r="J495" i="2"/>
  <c r="G495" i="2"/>
  <c r="J494" i="2"/>
  <c r="G494" i="2"/>
  <c r="J493" i="2"/>
  <c r="G493" i="2"/>
  <c r="J492" i="2"/>
  <c r="G492" i="2"/>
  <c r="J491" i="2"/>
  <c r="G491" i="2"/>
  <c r="J490" i="2"/>
  <c r="G490" i="2"/>
  <c r="J489" i="2"/>
  <c r="G489" i="2"/>
  <c r="J488" i="2"/>
  <c r="G488" i="2"/>
  <c r="J487" i="2"/>
  <c r="G487" i="2"/>
  <c r="J486" i="2"/>
  <c r="G486" i="2"/>
  <c r="J485" i="2"/>
  <c r="G485" i="2"/>
  <c r="J484" i="2"/>
  <c r="G484" i="2"/>
  <c r="J483" i="2"/>
  <c r="G483" i="2"/>
  <c r="J482" i="2"/>
  <c r="G482" i="2"/>
  <c r="J481" i="2"/>
  <c r="G481" i="2"/>
  <c r="J480" i="2"/>
  <c r="G480" i="2"/>
  <c r="J479" i="2"/>
  <c r="G479" i="2"/>
  <c r="J478" i="2"/>
  <c r="G478" i="2"/>
  <c r="J477" i="2"/>
  <c r="G477" i="2"/>
  <c r="J476" i="2"/>
  <c r="G476" i="2"/>
  <c r="J475" i="2"/>
  <c r="G475" i="2"/>
  <c r="J474" i="2"/>
  <c r="G474" i="2"/>
  <c r="J473" i="2"/>
  <c r="G473" i="2"/>
  <c r="J472" i="2"/>
  <c r="G472" i="2"/>
  <c r="J471" i="2"/>
  <c r="G471" i="2"/>
  <c r="J470" i="2"/>
  <c r="G470" i="2"/>
  <c r="J469" i="2"/>
  <c r="G469" i="2"/>
  <c r="J468" i="2"/>
  <c r="G468" i="2"/>
  <c r="J467" i="2"/>
  <c r="G467" i="2"/>
  <c r="J466" i="2"/>
  <c r="G466" i="2"/>
  <c r="J465" i="2"/>
  <c r="G465" i="2"/>
  <c r="J464" i="2"/>
  <c r="G464" i="2"/>
  <c r="J463" i="2"/>
  <c r="G463" i="2"/>
  <c r="J462" i="2"/>
  <c r="G462" i="2"/>
  <c r="J461" i="2"/>
  <c r="G461" i="2"/>
  <c r="J460" i="2"/>
  <c r="G460" i="2"/>
  <c r="J459" i="2"/>
  <c r="G459" i="2"/>
  <c r="J458" i="2"/>
  <c r="G458" i="2"/>
  <c r="J457" i="2"/>
  <c r="G457" i="2"/>
  <c r="J456" i="2"/>
  <c r="G456" i="2"/>
  <c r="J455" i="2"/>
  <c r="G455" i="2"/>
  <c r="J454" i="2"/>
  <c r="G454" i="2"/>
  <c r="J453" i="2"/>
  <c r="G453" i="2"/>
  <c r="J452" i="2"/>
  <c r="G452" i="2"/>
  <c r="J451" i="2"/>
  <c r="G451" i="2"/>
  <c r="J450" i="2"/>
  <c r="G450" i="2"/>
  <c r="J449" i="2"/>
  <c r="G449" i="2"/>
  <c r="J448" i="2"/>
  <c r="G448" i="2"/>
  <c r="J447" i="2"/>
  <c r="G447" i="2"/>
  <c r="J446" i="2"/>
  <c r="G446" i="2"/>
  <c r="J445" i="2"/>
  <c r="G445" i="2"/>
  <c r="J444" i="2"/>
  <c r="G444" i="2"/>
  <c r="J443" i="2"/>
  <c r="G443" i="2"/>
  <c r="J442" i="2"/>
  <c r="G442" i="2"/>
  <c r="J441" i="2"/>
  <c r="G441" i="2"/>
  <c r="J440" i="2"/>
  <c r="G440" i="2"/>
  <c r="J439" i="2"/>
  <c r="G439" i="2"/>
  <c r="J438" i="2"/>
  <c r="G438" i="2"/>
  <c r="J437" i="2"/>
  <c r="G437" i="2"/>
  <c r="J436" i="2"/>
  <c r="G436" i="2"/>
  <c r="J435" i="2"/>
  <c r="G435" i="2"/>
  <c r="J434" i="2"/>
  <c r="G434" i="2"/>
  <c r="J433" i="2"/>
  <c r="G433" i="2"/>
  <c r="J432" i="2"/>
  <c r="G432" i="2"/>
  <c r="J431" i="2"/>
  <c r="G431" i="2"/>
  <c r="J430" i="2"/>
  <c r="G430" i="2"/>
  <c r="J429" i="2"/>
  <c r="G429" i="2"/>
  <c r="J428" i="2"/>
  <c r="G428" i="2"/>
  <c r="J427" i="2"/>
  <c r="G427" i="2"/>
  <c r="J426" i="2"/>
  <c r="G426" i="2"/>
  <c r="J425" i="2"/>
  <c r="G425" i="2"/>
  <c r="J424" i="2"/>
  <c r="G424" i="2"/>
  <c r="J423" i="2"/>
  <c r="G423" i="2"/>
  <c r="J422" i="2"/>
  <c r="G422" i="2"/>
  <c r="J421" i="2"/>
  <c r="G421" i="2"/>
  <c r="J420" i="2"/>
  <c r="G420" i="2"/>
  <c r="J419" i="2"/>
  <c r="G419" i="2"/>
  <c r="J418" i="2"/>
  <c r="G418" i="2"/>
  <c r="J417" i="2"/>
  <c r="G417" i="2"/>
  <c r="J416" i="2"/>
  <c r="G416" i="2"/>
  <c r="J415" i="2"/>
  <c r="G415" i="2"/>
  <c r="J414" i="2"/>
  <c r="G414" i="2"/>
  <c r="J413" i="2"/>
  <c r="G413" i="2"/>
  <c r="J412" i="2"/>
  <c r="G412" i="2"/>
  <c r="J411" i="2"/>
  <c r="G411" i="2"/>
  <c r="J410" i="2"/>
  <c r="G410" i="2"/>
  <c r="J409" i="2"/>
  <c r="G409" i="2"/>
  <c r="J408" i="2"/>
  <c r="G408" i="2"/>
  <c r="J407" i="2"/>
  <c r="G407" i="2"/>
  <c r="J406" i="2"/>
  <c r="G406" i="2"/>
  <c r="J405" i="2"/>
  <c r="G405" i="2"/>
  <c r="J404" i="2"/>
  <c r="G404" i="2"/>
  <c r="J403" i="2"/>
  <c r="G403" i="2"/>
  <c r="J402" i="2"/>
  <c r="G402" i="2"/>
  <c r="J401" i="2"/>
  <c r="G401" i="2"/>
  <c r="J400" i="2"/>
  <c r="G400" i="2"/>
  <c r="J399" i="2"/>
  <c r="G399" i="2"/>
  <c r="J398" i="2"/>
  <c r="G398" i="2"/>
  <c r="J397" i="2"/>
  <c r="G397" i="2"/>
  <c r="J396" i="2"/>
  <c r="G396" i="2"/>
  <c r="J395" i="2"/>
  <c r="G395" i="2"/>
  <c r="J394" i="2"/>
  <c r="G394" i="2"/>
  <c r="J393" i="2"/>
  <c r="G393" i="2"/>
  <c r="J392" i="2"/>
  <c r="G392" i="2"/>
  <c r="J391" i="2"/>
  <c r="G391" i="2"/>
  <c r="J390" i="2"/>
  <c r="G390" i="2"/>
  <c r="J389" i="2"/>
  <c r="G389" i="2"/>
  <c r="J388" i="2"/>
  <c r="G388" i="2"/>
  <c r="J387" i="2"/>
  <c r="G387" i="2"/>
  <c r="J386" i="2"/>
  <c r="G386" i="2"/>
  <c r="J385" i="2"/>
  <c r="G385" i="2"/>
  <c r="J384" i="2"/>
  <c r="G384" i="2"/>
  <c r="J383" i="2"/>
  <c r="G383" i="2"/>
  <c r="J382" i="2"/>
  <c r="G382" i="2"/>
  <c r="J381" i="2"/>
  <c r="G381" i="2"/>
  <c r="J380" i="2"/>
  <c r="G380" i="2"/>
  <c r="J379" i="2"/>
  <c r="G379" i="2"/>
  <c r="J378" i="2"/>
  <c r="G378" i="2"/>
  <c r="J377" i="2"/>
  <c r="G377" i="2"/>
  <c r="J376" i="2"/>
  <c r="G376" i="2"/>
  <c r="J375" i="2"/>
  <c r="G375" i="2"/>
  <c r="J374" i="2"/>
  <c r="G374" i="2"/>
  <c r="J373" i="2"/>
  <c r="G373" i="2"/>
  <c r="J372" i="2"/>
  <c r="G372" i="2"/>
  <c r="J371" i="2"/>
  <c r="G371" i="2"/>
  <c r="J370" i="2"/>
  <c r="G370" i="2"/>
  <c r="J369" i="2"/>
  <c r="G369" i="2"/>
  <c r="J368" i="2"/>
  <c r="G368" i="2"/>
  <c r="J367" i="2"/>
  <c r="G367" i="2"/>
  <c r="J366" i="2"/>
  <c r="G366" i="2"/>
  <c r="J365" i="2"/>
  <c r="G365" i="2"/>
  <c r="J364" i="2"/>
  <c r="G364" i="2"/>
  <c r="J363" i="2"/>
  <c r="G363" i="2"/>
  <c r="J362" i="2"/>
  <c r="G362" i="2"/>
  <c r="J361" i="2"/>
  <c r="G361" i="2"/>
  <c r="J360" i="2"/>
  <c r="G360" i="2"/>
  <c r="J359" i="2"/>
  <c r="G359" i="2"/>
  <c r="J358" i="2"/>
  <c r="G358" i="2"/>
  <c r="J357" i="2"/>
  <c r="G357" i="2"/>
  <c r="J356" i="2"/>
  <c r="G356" i="2"/>
  <c r="J355" i="2"/>
  <c r="G355" i="2"/>
  <c r="J354" i="2"/>
  <c r="G354" i="2"/>
  <c r="J353" i="2"/>
  <c r="G353" i="2"/>
  <c r="J352" i="2"/>
  <c r="G352" i="2"/>
  <c r="J351" i="2"/>
  <c r="G351" i="2"/>
  <c r="J350" i="2"/>
  <c r="G350" i="2"/>
  <c r="J349" i="2"/>
  <c r="G349" i="2"/>
  <c r="J348" i="2"/>
  <c r="G348" i="2"/>
  <c r="J347" i="2"/>
  <c r="G347" i="2"/>
  <c r="J346" i="2"/>
  <c r="G346" i="2"/>
  <c r="J345" i="2"/>
  <c r="G345" i="2"/>
  <c r="J344" i="2"/>
  <c r="G344" i="2"/>
  <c r="J343" i="2"/>
  <c r="G343" i="2"/>
  <c r="J342" i="2"/>
  <c r="G342" i="2"/>
  <c r="J341" i="2"/>
  <c r="G341" i="2"/>
  <c r="J340" i="2"/>
  <c r="G340" i="2"/>
  <c r="J339" i="2"/>
  <c r="G339" i="2"/>
  <c r="J338" i="2"/>
  <c r="G338" i="2"/>
  <c r="J337" i="2"/>
  <c r="G337" i="2"/>
  <c r="J336" i="2"/>
  <c r="G336" i="2"/>
  <c r="J335" i="2"/>
  <c r="G335" i="2"/>
  <c r="J334" i="2"/>
  <c r="G334" i="2"/>
  <c r="J333" i="2"/>
  <c r="G333" i="2"/>
  <c r="J332" i="2"/>
  <c r="G332" i="2"/>
  <c r="J331" i="2"/>
  <c r="G331" i="2"/>
  <c r="J330" i="2"/>
  <c r="G330" i="2"/>
  <c r="J329" i="2"/>
  <c r="G329" i="2"/>
  <c r="J328" i="2"/>
  <c r="G328" i="2"/>
  <c r="J327" i="2"/>
  <c r="G327" i="2"/>
  <c r="J326" i="2"/>
  <c r="G326" i="2"/>
  <c r="J325" i="2"/>
  <c r="G325" i="2"/>
  <c r="J324" i="2"/>
  <c r="G324" i="2"/>
  <c r="J323" i="2"/>
  <c r="G323" i="2"/>
  <c r="J322" i="2"/>
  <c r="G322" i="2"/>
  <c r="J321" i="2"/>
  <c r="G321" i="2"/>
  <c r="J320" i="2"/>
  <c r="G320" i="2"/>
  <c r="J319" i="2"/>
  <c r="G319" i="2"/>
  <c r="J318" i="2"/>
  <c r="G318" i="2"/>
  <c r="J317" i="2"/>
  <c r="G317" i="2"/>
  <c r="J316" i="2"/>
  <c r="G316" i="2"/>
  <c r="J315" i="2"/>
  <c r="G315" i="2"/>
  <c r="J314" i="2"/>
  <c r="G314" i="2"/>
  <c r="J313" i="2"/>
  <c r="G313" i="2"/>
  <c r="J312" i="2"/>
  <c r="G312" i="2"/>
  <c r="J311" i="2"/>
  <c r="G311" i="2"/>
  <c r="J310" i="2"/>
  <c r="G310" i="2"/>
  <c r="J309" i="2"/>
  <c r="G309" i="2"/>
  <c r="J308" i="2"/>
  <c r="G308" i="2"/>
  <c r="J307" i="2"/>
  <c r="G307" i="2"/>
  <c r="J306" i="2"/>
  <c r="G306" i="2"/>
  <c r="J305" i="2"/>
  <c r="G305" i="2"/>
  <c r="J304" i="2"/>
  <c r="G304" i="2"/>
  <c r="J303" i="2"/>
  <c r="G303" i="2"/>
  <c r="J302" i="2"/>
  <c r="G302" i="2"/>
  <c r="J301" i="2"/>
  <c r="G301" i="2"/>
  <c r="J300" i="2"/>
  <c r="G300" i="2"/>
  <c r="J299" i="2"/>
  <c r="G299" i="2"/>
  <c r="J298" i="2"/>
  <c r="G298" i="2"/>
  <c r="J297" i="2"/>
  <c r="G297" i="2"/>
  <c r="J296" i="2"/>
  <c r="G296" i="2"/>
  <c r="J295" i="2"/>
  <c r="G295" i="2"/>
  <c r="J294" i="2"/>
  <c r="G294" i="2"/>
  <c r="J293" i="2"/>
  <c r="G293" i="2"/>
  <c r="J292" i="2"/>
  <c r="G292" i="2"/>
  <c r="J291" i="2"/>
  <c r="G291" i="2"/>
  <c r="J290" i="2"/>
  <c r="G290" i="2"/>
  <c r="J289" i="2"/>
  <c r="G289" i="2"/>
  <c r="J288" i="2"/>
  <c r="G288" i="2"/>
  <c r="J287" i="2"/>
  <c r="G287" i="2"/>
  <c r="J286" i="2"/>
  <c r="G286" i="2"/>
  <c r="J285" i="2"/>
  <c r="G285" i="2"/>
  <c r="J284" i="2"/>
  <c r="G284" i="2"/>
  <c r="J283" i="2"/>
  <c r="G283" i="2"/>
  <c r="J282" i="2"/>
  <c r="G282" i="2"/>
  <c r="J281" i="2"/>
  <c r="G281" i="2"/>
  <c r="J280" i="2"/>
  <c r="G280" i="2"/>
  <c r="J279" i="2"/>
  <c r="G279" i="2"/>
  <c r="J278" i="2"/>
  <c r="G278" i="2"/>
  <c r="J277" i="2"/>
  <c r="G277" i="2"/>
  <c r="J276" i="2"/>
  <c r="G276" i="2"/>
  <c r="J275" i="2"/>
  <c r="G275" i="2"/>
  <c r="J274" i="2"/>
  <c r="G274" i="2"/>
  <c r="J273" i="2"/>
  <c r="G273" i="2"/>
  <c r="J272" i="2"/>
  <c r="G272" i="2"/>
  <c r="J271" i="2"/>
  <c r="G271" i="2"/>
  <c r="J270" i="2"/>
  <c r="G270" i="2"/>
  <c r="J269" i="2"/>
  <c r="G269" i="2"/>
  <c r="J268" i="2"/>
  <c r="G268" i="2"/>
  <c r="J267" i="2"/>
  <c r="G267" i="2"/>
  <c r="J266" i="2"/>
  <c r="G266" i="2"/>
  <c r="J265" i="2"/>
  <c r="G265" i="2"/>
  <c r="J264" i="2"/>
  <c r="G264" i="2"/>
  <c r="J263" i="2"/>
  <c r="G263" i="2"/>
  <c r="J262" i="2"/>
  <c r="G262" i="2"/>
  <c r="J261" i="2"/>
  <c r="G261" i="2"/>
  <c r="J260" i="2"/>
  <c r="G260" i="2"/>
  <c r="J259" i="2"/>
  <c r="G259" i="2"/>
  <c r="J258" i="2"/>
  <c r="G258" i="2"/>
  <c r="J257" i="2"/>
  <c r="G257" i="2"/>
  <c r="J256" i="2"/>
  <c r="G256" i="2"/>
  <c r="J255" i="2"/>
  <c r="G255" i="2"/>
  <c r="J254" i="2"/>
  <c r="G254" i="2"/>
  <c r="J253" i="2"/>
  <c r="G253" i="2"/>
  <c r="J252" i="2"/>
  <c r="G252" i="2"/>
  <c r="J251" i="2"/>
  <c r="G251" i="2"/>
  <c r="J250" i="2"/>
  <c r="G250" i="2"/>
  <c r="J249" i="2"/>
  <c r="G249" i="2"/>
  <c r="J248" i="2"/>
  <c r="G248" i="2"/>
  <c r="J247" i="2"/>
  <c r="G247" i="2"/>
  <c r="J246" i="2"/>
  <c r="G246" i="2"/>
  <c r="J245" i="2"/>
  <c r="G245" i="2"/>
  <c r="J244" i="2"/>
  <c r="G244" i="2"/>
  <c r="J243" i="2"/>
  <c r="G243" i="2"/>
  <c r="J242" i="2"/>
  <c r="G242" i="2"/>
  <c r="J241" i="2"/>
  <c r="G241" i="2"/>
  <c r="J240" i="2"/>
  <c r="G240" i="2"/>
  <c r="J239" i="2"/>
  <c r="G239" i="2"/>
  <c r="J238" i="2"/>
  <c r="G238" i="2"/>
  <c r="J237" i="2"/>
  <c r="G237" i="2"/>
  <c r="J236" i="2"/>
  <c r="G236" i="2"/>
  <c r="J235" i="2"/>
  <c r="G235" i="2"/>
  <c r="J234" i="2"/>
  <c r="G234" i="2"/>
  <c r="J233" i="2"/>
  <c r="G233" i="2"/>
  <c r="J232" i="2"/>
  <c r="G232" i="2"/>
  <c r="J231" i="2"/>
  <c r="G231" i="2"/>
  <c r="J230" i="2"/>
  <c r="G230" i="2"/>
  <c r="J229" i="2"/>
  <c r="G229" i="2"/>
  <c r="J228" i="2"/>
  <c r="G228" i="2"/>
  <c r="J227" i="2"/>
  <c r="G227" i="2"/>
  <c r="J226" i="2"/>
  <c r="G226" i="2"/>
  <c r="J225" i="2"/>
  <c r="G225" i="2"/>
  <c r="J224" i="2"/>
  <c r="G224" i="2"/>
  <c r="J223" i="2"/>
  <c r="G223" i="2"/>
  <c r="J222" i="2"/>
  <c r="G222" i="2"/>
  <c r="J221" i="2"/>
  <c r="G221" i="2"/>
  <c r="J220" i="2"/>
  <c r="G220" i="2"/>
  <c r="J219" i="2"/>
  <c r="G219" i="2"/>
  <c r="J218" i="2"/>
  <c r="G218" i="2"/>
  <c r="J217" i="2"/>
  <c r="G217" i="2"/>
  <c r="J216" i="2"/>
  <c r="G216" i="2"/>
  <c r="J215" i="2"/>
  <c r="G215" i="2"/>
  <c r="J214" i="2"/>
  <c r="G214" i="2"/>
  <c r="J213" i="2"/>
  <c r="G213" i="2"/>
  <c r="J212" i="2"/>
  <c r="G212" i="2"/>
  <c r="J211" i="2"/>
  <c r="G211" i="2"/>
  <c r="J210" i="2"/>
  <c r="G210" i="2"/>
  <c r="J209" i="2"/>
  <c r="G209" i="2"/>
  <c r="J208" i="2"/>
  <c r="G208" i="2"/>
  <c r="J207" i="2"/>
  <c r="G207" i="2"/>
  <c r="J206" i="2"/>
  <c r="G206" i="2"/>
  <c r="J205" i="2"/>
  <c r="G205" i="2"/>
  <c r="J204" i="2"/>
  <c r="G204" i="2"/>
  <c r="J203" i="2"/>
  <c r="G203" i="2"/>
  <c r="J202" i="2"/>
  <c r="G202" i="2"/>
  <c r="J201" i="2"/>
  <c r="G201" i="2"/>
  <c r="J200" i="2"/>
  <c r="G200" i="2"/>
  <c r="J199" i="2"/>
  <c r="G199" i="2"/>
  <c r="J198" i="2"/>
  <c r="G198" i="2"/>
  <c r="J197" i="2"/>
  <c r="G197" i="2"/>
  <c r="J196" i="2"/>
  <c r="G196" i="2"/>
  <c r="J195" i="2"/>
  <c r="G195" i="2"/>
  <c r="J194" i="2"/>
  <c r="G194" i="2"/>
  <c r="J193" i="2"/>
  <c r="G193" i="2"/>
  <c r="J192" i="2"/>
  <c r="G192" i="2"/>
  <c r="J191" i="2"/>
  <c r="G191" i="2"/>
  <c r="J190" i="2"/>
  <c r="G190" i="2"/>
  <c r="J189" i="2"/>
  <c r="G189" i="2"/>
  <c r="J188" i="2"/>
  <c r="G188" i="2"/>
  <c r="J187" i="2"/>
  <c r="G187" i="2"/>
  <c r="J186" i="2"/>
  <c r="G186" i="2"/>
  <c r="J185" i="2"/>
  <c r="G185" i="2"/>
  <c r="J184" i="2"/>
  <c r="G184" i="2"/>
  <c r="J183" i="2"/>
  <c r="G183" i="2"/>
  <c r="J182" i="2"/>
  <c r="G182" i="2"/>
  <c r="J181" i="2"/>
  <c r="G181" i="2"/>
  <c r="J180" i="2"/>
  <c r="G180" i="2"/>
  <c r="J179" i="2"/>
  <c r="G179" i="2"/>
  <c r="J178" i="2"/>
  <c r="G178" i="2"/>
  <c r="J177" i="2"/>
  <c r="G177" i="2"/>
  <c r="J176" i="2"/>
  <c r="G176" i="2"/>
  <c r="J175" i="2"/>
  <c r="G175" i="2"/>
  <c r="J174" i="2"/>
  <c r="G174" i="2"/>
  <c r="J173" i="2"/>
  <c r="G173" i="2"/>
  <c r="J172" i="2"/>
  <c r="G172" i="2"/>
  <c r="J171" i="2"/>
  <c r="G171" i="2"/>
  <c r="J170" i="2"/>
  <c r="G170" i="2"/>
  <c r="J169" i="2"/>
  <c r="G169" i="2"/>
  <c r="J168" i="2"/>
  <c r="G168" i="2"/>
  <c r="J167" i="2"/>
  <c r="G167" i="2"/>
  <c r="J166" i="2"/>
  <c r="G166" i="2"/>
  <c r="J165" i="2"/>
  <c r="G165" i="2"/>
  <c r="J164" i="2"/>
  <c r="G164" i="2"/>
  <c r="J163" i="2"/>
  <c r="G163" i="2"/>
  <c r="J162" i="2"/>
  <c r="G162" i="2"/>
  <c r="J161" i="2"/>
  <c r="G161" i="2"/>
  <c r="J160" i="2"/>
  <c r="G160" i="2"/>
  <c r="J159" i="2"/>
  <c r="G159" i="2"/>
  <c r="J158" i="2"/>
  <c r="G158" i="2"/>
  <c r="J157" i="2"/>
  <c r="G157" i="2"/>
  <c r="J156" i="2"/>
  <c r="G156" i="2"/>
  <c r="J155" i="2"/>
  <c r="G155" i="2"/>
  <c r="J154" i="2"/>
  <c r="G154" i="2"/>
  <c r="J153" i="2"/>
  <c r="G153" i="2"/>
  <c r="J152" i="2"/>
  <c r="G152" i="2"/>
  <c r="J151" i="2"/>
  <c r="G151" i="2"/>
  <c r="J150" i="2"/>
  <c r="G150" i="2"/>
  <c r="J149" i="2"/>
  <c r="G149" i="2"/>
  <c r="J148" i="2"/>
  <c r="G148" i="2"/>
  <c r="J147" i="2"/>
  <c r="G147" i="2"/>
  <c r="J146" i="2"/>
  <c r="G146" i="2"/>
  <c r="J145" i="2"/>
  <c r="G145" i="2"/>
  <c r="J144" i="2"/>
  <c r="G144" i="2"/>
  <c r="J143" i="2"/>
  <c r="G143" i="2"/>
  <c r="J142" i="2"/>
  <c r="G142" i="2"/>
  <c r="J141" i="2"/>
  <c r="G141" i="2"/>
  <c r="J140" i="2"/>
  <c r="G140" i="2"/>
  <c r="J139" i="2"/>
  <c r="G139" i="2"/>
  <c r="J138" i="2"/>
  <c r="G138" i="2"/>
  <c r="J137" i="2"/>
  <c r="G137" i="2"/>
  <c r="J136" i="2"/>
  <c r="G136" i="2"/>
  <c r="J135" i="2"/>
  <c r="G135" i="2"/>
  <c r="J134" i="2"/>
  <c r="G134" i="2"/>
  <c r="J133" i="2"/>
  <c r="G133" i="2"/>
  <c r="J132" i="2"/>
  <c r="G132" i="2"/>
  <c r="J131" i="2"/>
  <c r="G131" i="2"/>
  <c r="J130" i="2"/>
  <c r="G130" i="2"/>
  <c r="J129" i="2"/>
  <c r="G129" i="2"/>
  <c r="J128" i="2"/>
  <c r="G128" i="2"/>
  <c r="J127" i="2"/>
  <c r="G127" i="2"/>
  <c r="J126" i="2"/>
  <c r="G126" i="2"/>
  <c r="J125" i="2"/>
  <c r="G125" i="2"/>
  <c r="J124" i="2"/>
  <c r="G124" i="2"/>
  <c r="J123" i="2"/>
  <c r="G123" i="2"/>
  <c r="J122" i="2"/>
  <c r="G122" i="2"/>
  <c r="J121" i="2"/>
  <c r="G121" i="2"/>
  <c r="J120" i="2"/>
  <c r="G120" i="2"/>
  <c r="J119" i="2"/>
  <c r="G119" i="2"/>
  <c r="J118" i="2"/>
  <c r="G118" i="2"/>
  <c r="J117" i="2"/>
  <c r="G117" i="2"/>
  <c r="J116" i="2"/>
  <c r="G116" i="2"/>
  <c r="J115" i="2"/>
  <c r="G115" i="2"/>
  <c r="J114" i="2"/>
  <c r="G114" i="2"/>
  <c r="J113" i="2"/>
  <c r="G113" i="2"/>
  <c r="J112" i="2"/>
  <c r="G112" i="2"/>
  <c r="J111" i="2"/>
  <c r="G111" i="2"/>
  <c r="J110" i="2"/>
  <c r="G110" i="2"/>
  <c r="J109" i="2"/>
  <c r="G109" i="2"/>
  <c r="J108" i="2"/>
  <c r="G108" i="2"/>
  <c r="J107" i="2"/>
  <c r="G107" i="2"/>
  <c r="J106" i="2"/>
  <c r="G106" i="2"/>
  <c r="J105" i="2"/>
  <c r="G105" i="2"/>
  <c r="J104" i="2"/>
  <c r="G104" i="2"/>
  <c r="J103" i="2"/>
  <c r="G103" i="2"/>
  <c r="J102" i="2"/>
  <c r="G102" i="2"/>
  <c r="J101" i="2"/>
  <c r="G101" i="2"/>
  <c r="J100" i="2"/>
  <c r="G100" i="2"/>
  <c r="J99" i="2"/>
  <c r="G99" i="2"/>
  <c r="J98" i="2"/>
  <c r="G98" i="2"/>
  <c r="J97" i="2"/>
  <c r="G97" i="2"/>
  <c r="J96" i="2"/>
  <c r="G96" i="2"/>
  <c r="J95" i="2"/>
  <c r="G95" i="2"/>
  <c r="J94" i="2"/>
  <c r="G94" i="2"/>
  <c r="J93" i="2"/>
  <c r="G93" i="2"/>
  <c r="J92" i="2"/>
  <c r="G92" i="2"/>
  <c r="J91" i="2"/>
  <c r="G91" i="2"/>
  <c r="J90" i="2"/>
  <c r="G90" i="2"/>
  <c r="J89" i="2"/>
  <c r="G89" i="2"/>
  <c r="J88" i="2"/>
  <c r="G88" i="2"/>
  <c r="J87" i="2"/>
  <c r="G87" i="2"/>
  <c r="J86" i="2"/>
  <c r="G86" i="2"/>
  <c r="J85" i="2"/>
  <c r="G85" i="2"/>
  <c r="J84" i="2"/>
  <c r="G84" i="2"/>
  <c r="J83" i="2"/>
  <c r="G83" i="2"/>
  <c r="J82" i="2"/>
  <c r="G82" i="2"/>
  <c r="J81" i="2"/>
  <c r="G81" i="2"/>
  <c r="J80" i="2"/>
  <c r="G80" i="2"/>
  <c r="J79" i="2"/>
  <c r="G79" i="2"/>
  <c r="J78" i="2"/>
  <c r="G78" i="2"/>
  <c r="J77" i="2"/>
  <c r="G77" i="2"/>
  <c r="J76" i="2"/>
  <c r="G76" i="2"/>
  <c r="J75" i="2"/>
  <c r="G75" i="2"/>
  <c r="J74" i="2"/>
  <c r="G74" i="2"/>
  <c r="J73" i="2"/>
  <c r="G73" i="2"/>
  <c r="J72" i="2"/>
  <c r="G72" i="2"/>
  <c r="J71" i="2"/>
  <c r="G71" i="2"/>
  <c r="J70" i="2"/>
  <c r="G70" i="2"/>
  <c r="J69" i="2"/>
  <c r="G69" i="2"/>
  <c r="J68" i="2"/>
  <c r="G68" i="2"/>
  <c r="J67" i="2"/>
  <c r="G67" i="2"/>
  <c r="J66" i="2"/>
  <c r="G66" i="2"/>
  <c r="J65" i="2"/>
  <c r="G65" i="2"/>
  <c r="J64" i="2"/>
  <c r="G64" i="2"/>
  <c r="J63" i="2"/>
  <c r="G63" i="2"/>
  <c r="J62" i="2"/>
  <c r="G62" i="2"/>
  <c r="J61" i="2"/>
  <c r="G61" i="2"/>
  <c r="J60" i="2"/>
  <c r="G60" i="2"/>
  <c r="J59" i="2"/>
  <c r="G59" i="2"/>
  <c r="J58" i="2"/>
  <c r="G58" i="2"/>
  <c r="J57" i="2"/>
  <c r="G57" i="2"/>
  <c r="J56" i="2"/>
  <c r="G56" i="2"/>
  <c r="J55" i="2"/>
  <c r="G55" i="2"/>
  <c r="J54" i="2"/>
  <c r="G54" i="2"/>
  <c r="J53" i="2"/>
  <c r="G53" i="2"/>
  <c r="J52" i="2"/>
  <c r="G52" i="2"/>
  <c r="J51" i="2"/>
  <c r="G51" i="2"/>
  <c r="J50" i="2"/>
  <c r="G50" i="2"/>
  <c r="J49" i="2"/>
  <c r="G49" i="2"/>
  <c r="J48" i="2"/>
  <c r="G48" i="2"/>
  <c r="J47" i="2"/>
  <c r="G47" i="2"/>
  <c r="J46" i="2"/>
  <c r="G46" i="2"/>
  <c r="J45" i="2"/>
  <c r="G45" i="2"/>
  <c r="J44" i="2"/>
  <c r="G44" i="2"/>
  <c r="J43" i="2"/>
  <c r="G43" i="2"/>
  <c r="J42" i="2"/>
  <c r="G42" i="2"/>
  <c r="J41" i="2"/>
  <c r="G41" i="2"/>
  <c r="J40" i="2"/>
  <c r="G40" i="2"/>
  <c r="J39" i="2"/>
  <c r="G39" i="2"/>
  <c r="J38" i="2"/>
  <c r="G38" i="2"/>
  <c r="J37" i="2"/>
  <c r="G37" i="2"/>
  <c r="J36" i="2"/>
  <c r="G36" i="2"/>
  <c r="J35" i="2"/>
  <c r="G35" i="2"/>
  <c r="J34" i="2"/>
  <c r="G34" i="2"/>
  <c r="J33" i="2"/>
  <c r="G33" i="2"/>
  <c r="J32" i="2"/>
  <c r="G32" i="2"/>
  <c r="J31" i="2"/>
  <c r="G31" i="2"/>
  <c r="J30" i="2"/>
  <c r="G30" i="2"/>
  <c r="J29" i="2"/>
  <c r="G29" i="2"/>
  <c r="J28" i="2"/>
  <c r="G28" i="2"/>
  <c r="J27" i="2"/>
  <c r="G27" i="2"/>
  <c r="J26" i="2"/>
  <c r="G26" i="2"/>
  <c r="J25" i="2"/>
  <c r="G25" i="2"/>
  <c r="J24" i="2"/>
  <c r="G24" i="2"/>
  <c r="J23" i="2"/>
  <c r="G23" i="2"/>
  <c r="J22" i="2"/>
  <c r="G22" i="2"/>
  <c r="J21" i="2"/>
  <c r="G21" i="2"/>
  <c r="J20" i="2"/>
  <c r="G20" i="2"/>
  <c r="J19" i="2"/>
  <c r="G19" i="2"/>
  <c r="J18" i="2"/>
  <c r="G18" i="2"/>
  <c r="J17" i="2"/>
  <c r="G17" i="2"/>
  <c r="J16" i="2"/>
  <c r="G16" i="2"/>
  <c r="J15" i="2"/>
  <c r="G15" i="2"/>
  <c r="J14" i="2"/>
  <c r="G14" i="2"/>
  <c r="J13" i="2"/>
  <c r="G13" i="2"/>
  <c r="J12" i="2"/>
  <c r="G12" i="2"/>
  <c r="J11" i="2"/>
  <c r="G11" i="2"/>
  <c r="J10" i="2"/>
  <c r="G10" i="2"/>
  <c r="J9" i="2"/>
  <c r="G9" i="2"/>
  <c r="J8" i="2"/>
  <c r="G8" i="2"/>
  <c r="J7" i="2"/>
  <c r="G7" i="2"/>
  <c r="J6" i="2"/>
  <c r="G6" i="2"/>
  <c r="J5" i="2"/>
  <c r="G5" i="2"/>
  <c r="J4" i="2"/>
  <c r="G4" i="2"/>
  <c r="J3" i="2"/>
  <c r="G3" i="2"/>
  <c r="J2" i="2"/>
  <c r="G2" i="2"/>
  <c r="U29" i="1"/>
  <c r="T29" i="1"/>
  <c r="S29" i="1"/>
  <c r="R29" i="1"/>
  <c r="Q29" i="1"/>
  <c r="P29" i="1"/>
  <c r="O29" i="1"/>
  <c r="N29" i="1"/>
  <c r="U28" i="1"/>
  <c r="T28" i="1"/>
  <c r="S28" i="1"/>
  <c r="R28" i="1"/>
  <c r="Q28" i="1"/>
  <c r="P28" i="1"/>
  <c r="O28" i="1"/>
  <c r="N28" i="1"/>
  <c r="M28" i="1"/>
  <c r="U27" i="1"/>
  <c r="T27" i="1"/>
  <c r="S27" i="1"/>
  <c r="R27" i="1"/>
  <c r="Q27" i="1"/>
  <c r="P27" i="1"/>
  <c r="O27" i="1"/>
  <c r="N27" i="1"/>
  <c r="M27" i="1"/>
  <c r="U26" i="1"/>
  <c r="T26" i="1"/>
  <c r="S26" i="1"/>
  <c r="R26" i="1"/>
  <c r="Q26" i="1"/>
  <c r="P26" i="1"/>
  <c r="O26" i="1"/>
  <c r="N26" i="1"/>
  <c r="M26" i="1"/>
  <c r="U25" i="1"/>
  <c r="T25" i="1"/>
  <c r="S25" i="1"/>
  <c r="R25" i="1"/>
  <c r="Q25" i="1"/>
  <c r="P25" i="1"/>
  <c r="O25" i="1"/>
  <c r="N25" i="1"/>
  <c r="M25" i="1"/>
  <c r="U24" i="1"/>
  <c r="T24" i="1"/>
  <c r="S24" i="1"/>
  <c r="R24" i="1"/>
  <c r="Q24" i="1"/>
  <c r="P24" i="1"/>
  <c r="O24" i="1"/>
  <c r="N24" i="1"/>
  <c r="M24" i="1"/>
  <c r="U23" i="1"/>
  <c r="T23" i="1"/>
  <c r="S23" i="1"/>
  <c r="R23" i="1"/>
  <c r="Q23" i="1"/>
  <c r="P23" i="1"/>
  <c r="O23" i="1"/>
  <c r="N23" i="1"/>
  <c r="M23" i="1"/>
  <c r="U22" i="1"/>
  <c r="T22" i="1"/>
  <c r="S22" i="1"/>
  <c r="R22" i="1"/>
  <c r="Q22" i="1"/>
  <c r="P22" i="1"/>
  <c r="O22" i="1"/>
  <c r="N22" i="1"/>
  <c r="M22" i="1"/>
  <c r="U21" i="1"/>
  <c r="T21" i="1"/>
  <c r="S21" i="1"/>
  <c r="R21" i="1"/>
  <c r="Q21" i="1"/>
  <c r="P21" i="1"/>
  <c r="O21" i="1"/>
  <c r="N21" i="1"/>
  <c r="M21" i="1"/>
  <c r="U20" i="1"/>
  <c r="T20" i="1"/>
  <c r="S20" i="1"/>
  <c r="R20" i="1"/>
  <c r="Q20" i="1"/>
  <c r="P20" i="1"/>
  <c r="O20" i="1"/>
  <c r="N20" i="1"/>
  <c r="M20" i="1"/>
  <c r="U19" i="1"/>
  <c r="T19" i="1"/>
  <c r="S19" i="1"/>
  <c r="R19" i="1"/>
  <c r="Q19" i="1"/>
  <c r="P19" i="1"/>
  <c r="O19" i="1"/>
  <c r="N19" i="1"/>
  <c r="M19" i="1"/>
  <c r="U18" i="1"/>
  <c r="T18" i="1"/>
  <c r="S18" i="1"/>
  <c r="R18" i="1"/>
  <c r="Q18" i="1"/>
  <c r="P18" i="1"/>
  <c r="O18" i="1"/>
  <c r="N18" i="1"/>
  <c r="M18" i="1"/>
  <c r="U17" i="1"/>
  <c r="T17" i="1"/>
  <c r="S17" i="1"/>
  <c r="R17" i="1"/>
  <c r="Q17" i="1"/>
  <c r="P17" i="1"/>
  <c r="O17" i="1"/>
  <c r="N17" i="1"/>
  <c r="M17" i="1"/>
  <c r="U16" i="1"/>
  <c r="T16" i="1"/>
  <c r="S16" i="1"/>
  <c r="R16" i="1"/>
  <c r="Q16" i="1"/>
  <c r="P16" i="1"/>
  <c r="O16" i="1"/>
  <c r="N16" i="1"/>
  <c r="M16" i="1"/>
  <c r="U15" i="1"/>
  <c r="T15" i="1"/>
  <c r="S15" i="1"/>
  <c r="R15" i="1"/>
  <c r="Q15" i="1"/>
  <c r="P15" i="1"/>
  <c r="O15" i="1"/>
  <c r="N15" i="1"/>
  <c r="M15" i="1"/>
  <c r="U14" i="1"/>
  <c r="T14" i="1"/>
  <c r="S14" i="1"/>
  <c r="R14" i="1"/>
  <c r="Q14" i="1"/>
  <c r="P14" i="1"/>
  <c r="O14" i="1"/>
  <c r="N14" i="1"/>
  <c r="M14" i="1"/>
  <c r="L14" i="1"/>
  <c r="L14" i="1" a="1"/>
  <c r="P13" i="1"/>
  <c r="P13" i="1" a="1"/>
  <c r="O10" i="1"/>
  <c r="N10" i="1"/>
  <c r="O9" i="1"/>
  <c r="N9" i="1"/>
  <c r="O8" i="1"/>
  <c r="N8" i="1"/>
  <c r="O7" i="1"/>
  <c r="N7" i="1"/>
  <c r="T6" i="1"/>
  <c r="S6" i="1"/>
  <c r="R6" i="1"/>
  <c r="O6" i="1"/>
  <c r="N6" i="1"/>
  <c r="T5" i="1"/>
  <c r="S5" i="1"/>
  <c r="R5" i="1"/>
  <c r="O5" i="1"/>
  <c r="N5" i="1"/>
  <c r="M5" i="1"/>
  <c r="M5"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<sst xmlns="http://schemas.openxmlformats.org/spreadsheetml/2006/main" count="3437" uniqueCount="1131">
  <si>
    <t>typ</t>
  </si>
  <si>
    <t>barva</t>
  </si>
  <si>
    <t>airbag</t>
  </si>
  <si>
    <t>km</t>
  </si>
  <si>
    <t>cena</t>
  </si>
  <si>
    <t>splátky</t>
  </si>
  <si>
    <t>Favorit</t>
  </si>
  <si>
    <t>Škoda</t>
  </si>
  <si>
    <t>žlutá</t>
  </si>
  <si>
    <t>měsíčně</t>
  </si>
  <si>
    <t>Mondeo</t>
  </si>
  <si>
    <t>Ford</t>
  </si>
  <si>
    <t>bílá</t>
  </si>
  <si>
    <t>Yaris</t>
  </si>
  <si>
    <t>Toyota</t>
  </si>
  <si>
    <t>Corrola</t>
  </si>
  <si>
    <t>Forman</t>
  </si>
  <si>
    <t>modrá</t>
  </si>
  <si>
    <t>Punto</t>
  </si>
  <si>
    <t>Fiat</t>
  </si>
  <si>
    <t>pololetně</t>
  </si>
  <si>
    <t>Octavie</t>
  </si>
  <si>
    <t>zelená</t>
  </si>
  <si>
    <t>Felicie</t>
  </si>
  <si>
    <t>Fabie</t>
  </si>
  <si>
    <t>ročně</t>
  </si>
  <si>
    <t>Bravo</t>
  </si>
  <si>
    <t>Mazda323</t>
  </si>
  <si>
    <t>Mazda</t>
  </si>
  <si>
    <t>Escort</t>
  </si>
  <si>
    <t>Fiesta</t>
  </si>
  <si>
    <t>Mazda626</t>
  </si>
  <si>
    <t>černá</t>
  </si>
  <si>
    <t>červená</t>
  </si>
  <si>
    <t>Marea</t>
  </si>
  <si>
    <t>značka</t>
  </si>
  <si>
    <t>Clkem</t>
  </si>
  <si>
    <t>rok vyroby</t>
  </si>
  <si>
    <t>číslo auta</t>
  </si>
  <si>
    <t>Celkový počet</t>
  </si>
  <si>
    <t>Celková cena</t>
  </si>
  <si>
    <t>Značka</t>
  </si>
  <si>
    <t xml:space="preserve">Typ </t>
  </si>
  <si>
    <t>Počet</t>
  </si>
  <si>
    <t>Cena</t>
  </si>
  <si>
    <t>Celkem</t>
  </si>
  <si>
    <t>XLOOKUP</t>
  </si>
  <si>
    <t>SUM</t>
  </si>
  <si>
    <t>SUMIF</t>
  </si>
  <si>
    <t>COUNTIF</t>
  </si>
  <si>
    <t>UNIQUE</t>
  </si>
  <si>
    <t>TRANSPOSE</t>
  </si>
  <si>
    <t>SUMIFS</t>
  </si>
  <si>
    <t>COUNTIFS</t>
  </si>
  <si>
    <t>JMENO</t>
  </si>
  <si>
    <t>PRIJMENI</t>
  </si>
  <si>
    <t>PSC</t>
  </si>
  <si>
    <t>DATUM_NAR</t>
  </si>
  <si>
    <t>RODNE_C</t>
  </si>
  <si>
    <t>POHLAVI</t>
  </si>
  <si>
    <t>EVID_CISLO</t>
  </si>
  <si>
    <t>MISTO_NAR</t>
  </si>
  <si>
    <t>Radim</t>
  </si>
  <si>
    <t>Dufek</t>
  </si>
  <si>
    <t>592 55</t>
  </si>
  <si>
    <t>980718/5223</t>
  </si>
  <si>
    <t>M</t>
  </si>
  <si>
    <t>Nové Město na Moravě</t>
  </si>
  <si>
    <t>Natálie</t>
  </si>
  <si>
    <t>Heralová</t>
  </si>
  <si>
    <t>592 31</t>
  </si>
  <si>
    <t>970924/5216</t>
  </si>
  <si>
    <t>Z</t>
  </si>
  <si>
    <t>Melissa</t>
  </si>
  <si>
    <t>Hrušovská</t>
  </si>
  <si>
    <t>592 33</t>
  </si>
  <si>
    <t>980715/5215</t>
  </si>
  <si>
    <t>Tomáš</t>
  </si>
  <si>
    <t>Jano</t>
  </si>
  <si>
    <t>060121/3052</t>
  </si>
  <si>
    <t>Brno</t>
  </si>
  <si>
    <t>Karel</t>
  </si>
  <si>
    <t>Janů</t>
  </si>
  <si>
    <t>056107/3040</t>
  </si>
  <si>
    <t>Zdeněk</t>
  </si>
  <si>
    <t>055813/3015</t>
  </si>
  <si>
    <t>Matěj</t>
  </si>
  <si>
    <t>Kabelka</t>
  </si>
  <si>
    <t>050708/3016</t>
  </si>
  <si>
    <t>Kalous</t>
  </si>
  <si>
    <t>060505/3042</t>
  </si>
  <si>
    <t>Praha</t>
  </si>
  <si>
    <t>Krejčíková</t>
  </si>
  <si>
    <t>060404/3055</t>
  </si>
  <si>
    <t>Lukáš</t>
  </si>
  <si>
    <t>Lempera</t>
  </si>
  <si>
    <t>041106/3026</t>
  </si>
  <si>
    <t>Michaela</t>
  </si>
  <si>
    <t>Lišková</t>
  </si>
  <si>
    <t>051024/3030</t>
  </si>
  <si>
    <t>Barbora</t>
  </si>
  <si>
    <t>Macková</t>
  </si>
  <si>
    <t>065717/7697</t>
  </si>
  <si>
    <t>Jakub</t>
  </si>
  <si>
    <t>Okurka</t>
  </si>
  <si>
    <t>060703/3020</t>
  </si>
  <si>
    <t>Vojtěch</t>
  </si>
  <si>
    <t>Pejchal</t>
  </si>
  <si>
    <t>065212/3021</t>
  </si>
  <si>
    <t>Rosecký</t>
  </si>
  <si>
    <t>055815/3024</t>
  </si>
  <si>
    <t>Adam</t>
  </si>
  <si>
    <t>Sivák</t>
  </si>
  <si>
    <t>051021/3044</t>
  </si>
  <si>
    <t>David</t>
  </si>
  <si>
    <t>Sklenář</t>
  </si>
  <si>
    <t>051212/3018</t>
  </si>
  <si>
    <t>Ostrava</t>
  </si>
  <si>
    <t>Eliška</t>
  </si>
  <si>
    <t>Skuhrovcová</t>
  </si>
  <si>
    <t>051229/3023</t>
  </si>
  <si>
    <t>Amálie</t>
  </si>
  <si>
    <t>Slonková</t>
  </si>
  <si>
    <t>050609/3016</t>
  </si>
  <si>
    <t>Michael</t>
  </si>
  <si>
    <t>Šebek</t>
  </si>
  <si>
    <t>050125/3016</t>
  </si>
  <si>
    <t>Martin</t>
  </si>
  <si>
    <t>Švanda</t>
  </si>
  <si>
    <t>065615/3025</t>
  </si>
  <si>
    <t>Zoe</t>
  </si>
  <si>
    <t>Švomová</t>
  </si>
  <si>
    <t>065830/3041</t>
  </si>
  <si>
    <t>Tereza</t>
  </si>
  <si>
    <t>Tulisová</t>
  </si>
  <si>
    <t>060509/3016</t>
  </si>
  <si>
    <t>Jan</t>
  </si>
  <si>
    <t>Vambera</t>
  </si>
  <si>
    <t>060124/3016</t>
  </si>
  <si>
    <t>Josef</t>
  </si>
  <si>
    <t>Bittner</t>
  </si>
  <si>
    <t>065917/3031</t>
  </si>
  <si>
    <t>Ilja</t>
  </si>
  <si>
    <t>Brabec</t>
  </si>
  <si>
    <t>065525/3027</t>
  </si>
  <si>
    <t>Pavel</t>
  </si>
  <si>
    <t>Buchta</t>
  </si>
  <si>
    <t>050906/3027</t>
  </si>
  <si>
    <t>Daniel</t>
  </si>
  <si>
    <t>Čuhel</t>
  </si>
  <si>
    <t>060210/3018</t>
  </si>
  <si>
    <t>Petr</t>
  </si>
  <si>
    <t>Dvořák</t>
  </si>
  <si>
    <t>060814/0621</t>
  </si>
  <si>
    <t>Fajmon</t>
  </si>
  <si>
    <t>050819/3015</t>
  </si>
  <si>
    <t>Richard</t>
  </si>
  <si>
    <t>Hendrich</t>
  </si>
  <si>
    <t>050615/3021</t>
  </si>
  <si>
    <t>Václav</t>
  </si>
  <si>
    <t>Horňas</t>
  </si>
  <si>
    <t>060421/3016</t>
  </si>
  <si>
    <t>Kučerová</t>
  </si>
  <si>
    <t>060430/3018</t>
  </si>
  <si>
    <t>Kummer</t>
  </si>
  <si>
    <t>050929/3026</t>
  </si>
  <si>
    <t>Magdaléna</t>
  </si>
  <si>
    <t>Machová</t>
  </si>
  <si>
    <t>060223/3016</t>
  </si>
  <si>
    <t>Monika</t>
  </si>
  <si>
    <t>Mrkosová</t>
  </si>
  <si>
    <t>065223/3043</t>
  </si>
  <si>
    <t>Matouš</t>
  </si>
  <si>
    <t>Němec</t>
  </si>
  <si>
    <t>050527/3021</t>
  </si>
  <si>
    <t>Aleš</t>
  </si>
  <si>
    <t>Popelka</t>
  </si>
  <si>
    <t>066111/3024</t>
  </si>
  <si>
    <t>Marek</t>
  </si>
  <si>
    <t>Rychtera</t>
  </si>
  <si>
    <t>065609/3020</t>
  </si>
  <si>
    <t>Sláma</t>
  </si>
  <si>
    <t>060804/3018</t>
  </si>
  <si>
    <t>Anna</t>
  </si>
  <si>
    <t>Součková</t>
  </si>
  <si>
    <t>041102/3019</t>
  </si>
  <si>
    <t>Kateřina</t>
  </si>
  <si>
    <t>Stupková</t>
  </si>
  <si>
    <t>050621/3037</t>
  </si>
  <si>
    <t>Svatoň</t>
  </si>
  <si>
    <t>051207/3023</t>
  </si>
  <si>
    <t>Šolc</t>
  </si>
  <si>
    <t>065522/3019</t>
  </si>
  <si>
    <t>Tatíčková</t>
  </si>
  <si>
    <t>065121/3035</t>
  </si>
  <si>
    <t>Nina</t>
  </si>
  <si>
    <t>Zichová</t>
  </si>
  <si>
    <t>051216/3025</t>
  </si>
  <si>
    <t>Alžběta</t>
  </si>
  <si>
    <t>Žáková</t>
  </si>
  <si>
    <t>060114/3015</t>
  </si>
  <si>
    <t>Benešová</t>
  </si>
  <si>
    <t>065124/3021</t>
  </si>
  <si>
    <t>Veronika</t>
  </si>
  <si>
    <t>Hlaváčová</t>
  </si>
  <si>
    <t>065408/3034</t>
  </si>
  <si>
    <t>Mrázek</t>
  </si>
  <si>
    <t>065412/3019</t>
  </si>
  <si>
    <t>065623/3017</t>
  </si>
  <si>
    <t>Vít</t>
  </si>
  <si>
    <t>065816/3022</t>
  </si>
  <si>
    <t>Valerie</t>
  </si>
  <si>
    <t>Fogašova</t>
  </si>
  <si>
    <t>050423/3015</t>
  </si>
  <si>
    <t>Vanesa</t>
  </si>
  <si>
    <t>Fogašová</t>
  </si>
  <si>
    <t>050415/8083</t>
  </si>
  <si>
    <t>Harvánková</t>
  </si>
  <si>
    <t>050101/3018</t>
  </si>
  <si>
    <t>Havlík</t>
  </si>
  <si>
    <t>045603/3017</t>
  </si>
  <si>
    <t>Horký</t>
  </si>
  <si>
    <t>045603/3028</t>
  </si>
  <si>
    <t>Jakubec</t>
  </si>
  <si>
    <t>055819/3020</t>
  </si>
  <si>
    <t>Jirků</t>
  </si>
  <si>
    <t>041118/3025</t>
  </si>
  <si>
    <t>Libuše</t>
  </si>
  <si>
    <t>Konečná</t>
  </si>
  <si>
    <t>593 01</t>
  </si>
  <si>
    <t>050111/3030</t>
  </si>
  <si>
    <t>Edita</t>
  </si>
  <si>
    <t>Kosourová</t>
  </si>
  <si>
    <t>040204/0551</t>
  </si>
  <si>
    <t>Kršek</t>
  </si>
  <si>
    <t>041202/3040</t>
  </si>
  <si>
    <t>Jaroslav</t>
  </si>
  <si>
    <t>Kříž</t>
  </si>
  <si>
    <t>055715/3025</t>
  </si>
  <si>
    <t>Adéla</t>
  </si>
  <si>
    <t>Křížová</t>
  </si>
  <si>
    <t>055202/3032</t>
  </si>
  <si>
    <t>Kubec</t>
  </si>
  <si>
    <t>041120/3023</t>
  </si>
  <si>
    <t>Miková</t>
  </si>
  <si>
    <t>050803/8069</t>
  </si>
  <si>
    <t>055803/8085</t>
  </si>
  <si>
    <t>Jitka</t>
  </si>
  <si>
    <t>Parkanová</t>
  </si>
  <si>
    <t>040305/4146</t>
  </si>
  <si>
    <t>055630/0635</t>
  </si>
  <si>
    <t>Pejchalová</t>
  </si>
  <si>
    <t>040322/4151</t>
  </si>
  <si>
    <t>Pinterová</t>
  </si>
  <si>
    <t>055714/3059</t>
  </si>
  <si>
    <t>Aneta</t>
  </si>
  <si>
    <t>Pokorná</t>
  </si>
  <si>
    <t>041229/3024</t>
  </si>
  <si>
    <t>Karolína</t>
  </si>
  <si>
    <t>Polívková</t>
  </si>
  <si>
    <t>046229/3018</t>
  </si>
  <si>
    <t>Jana</t>
  </si>
  <si>
    <t>Tomancová</t>
  </si>
  <si>
    <t>055216/3018</t>
  </si>
  <si>
    <t>Franz</t>
  </si>
  <si>
    <t>Zerzán</t>
  </si>
  <si>
    <t>055403/3029</t>
  </si>
  <si>
    <t>Bednář</t>
  </si>
  <si>
    <t>055712/3028</t>
  </si>
  <si>
    <t>Matyáš</t>
  </si>
  <si>
    <t>Bradáč</t>
  </si>
  <si>
    <t>045612/1545</t>
  </si>
  <si>
    <t>Burešová</t>
  </si>
  <si>
    <t>050407/3020</t>
  </si>
  <si>
    <t>Cihlář</t>
  </si>
  <si>
    <t>591 01</t>
  </si>
  <si>
    <t>040914/3020</t>
  </si>
  <si>
    <t>041215/3016</t>
  </si>
  <si>
    <t>Jiří</t>
  </si>
  <si>
    <t>Fiala</t>
  </si>
  <si>
    <t>055305/0608</t>
  </si>
  <si>
    <t>Fišer</t>
  </si>
  <si>
    <t>050329/3021</t>
  </si>
  <si>
    <t>Nataša</t>
  </si>
  <si>
    <t>Horváthová</t>
  </si>
  <si>
    <t>041024/3042</t>
  </si>
  <si>
    <t>Hrnčířová</t>
  </si>
  <si>
    <t>041116/3016</t>
  </si>
  <si>
    <t>Filip</t>
  </si>
  <si>
    <t>Jelínek</t>
  </si>
  <si>
    <t>041115/3017</t>
  </si>
  <si>
    <t>Jun</t>
  </si>
  <si>
    <t>055517/3047</t>
  </si>
  <si>
    <t>Ondřej</t>
  </si>
  <si>
    <t>Kadlec</t>
  </si>
  <si>
    <t>045323/4144</t>
  </si>
  <si>
    <t>Kramár</t>
  </si>
  <si>
    <t>050214/3015</t>
  </si>
  <si>
    <t>Kutra</t>
  </si>
  <si>
    <t>050816/3018</t>
  </si>
  <si>
    <t>Mareček</t>
  </si>
  <si>
    <t>050731/3026</t>
  </si>
  <si>
    <t>Mička</t>
  </si>
  <si>
    <t>040929/3016</t>
  </si>
  <si>
    <t>Leontýna</t>
  </si>
  <si>
    <t>Oravcová</t>
  </si>
  <si>
    <t>050303/3025</t>
  </si>
  <si>
    <t>Smolíková</t>
  </si>
  <si>
    <t>040705/3042</t>
  </si>
  <si>
    <t>Stojar</t>
  </si>
  <si>
    <t>040608/3018</t>
  </si>
  <si>
    <t>Nikola</t>
  </si>
  <si>
    <t>Šebková</t>
  </si>
  <si>
    <t>055507/3024</t>
  </si>
  <si>
    <t>Helena</t>
  </si>
  <si>
    <t>Šenkeříková</t>
  </si>
  <si>
    <t>055731/3020</t>
  </si>
  <si>
    <t>050317/3022</t>
  </si>
  <si>
    <t>Hana</t>
  </si>
  <si>
    <t>Štrofová</t>
  </si>
  <si>
    <t>045111/4136</t>
  </si>
  <si>
    <t>Denisa</t>
  </si>
  <si>
    <t>Vodičková</t>
  </si>
  <si>
    <t>046001/8097</t>
  </si>
  <si>
    <t>Brož</t>
  </si>
  <si>
    <t>055930/8068</t>
  </si>
  <si>
    <t>Jícha</t>
  </si>
  <si>
    <t>046230/3017</t>
  </si>
  <si>
    <t>Šimková</t>
  </si>
  <si>
    <t>055106/8012</t>
  </si>
  <si>
    <t>Jeroným</t>
  </si>
  <si>
    <t>Tecl</t>
  </si>
  <si>
    <t>050403/3024</t>
  </si>
  <si>
    <t>Bílý</t>
  </si>
  <si>
    <t>041207/3035</t>
  </si>
  <si>
    <t>Bukáček</t>
  </si>
  <si>
    <t>045224/4155</t>
  </si>
  <si>
    <t>Cihlářová</t>
  </si>
  <si>
    <t>041211/3020</t>
  </si>
  <si>
    <t>Vendula</t>
  </si>
  <si>
    <t>Cíchová</t>
  </si>
  <si>
    <t>030412/5228</t>
  </si>
  <si>
    <t>Magda</t>
  </si>
  <si>
    <t>Dvořáková</t>
  </si>
  <si>
    <t>030823/5224</t>
  </si>
  <si>
    <t>035209/5216</t>
  </si>
  <si>
    <t>Jolana</t>
  </si>
  <si>
    <t>Hradilová</t>
  </si>
  <si>
    <t>045520/3023</t>
  </si>
  <si>
    <t>Simon</t>
  </si>
  <si>
    <t>Hrubec</t>
  </si>
  <si>
    <t>045309/7634</t>
  </si>
  <si>
    <t>Charvát</t>
  </si>
  <si>
    <t>035917/5234</t>
  </si>
  <si>
    <t>Šimon</t>
  </si>
  <si>
    <t>Jurda</t>
  </si>
  <si>
    <t>045629/3046</t>
  </si>
  <si>
    <t>Nicol</t>
  </si>
  <si>
    <t>Jurková</t>
  </si>
  <si>
    <t>040817/5086</t>
  </si>
  <si>
    <t>Jindřich</t>
  </si>
  <si>
    <t>Kaštánek</t>
  </si>
  <si>
    <t>040405/3023</t>
  </si>
  <si>
    <t>040604/3022</t>
  </si>
  <si>
    <t>Simona</t>
  </si>
  <si>
    <t>Lemperová</t>
  </si>
  <si>
    <t>045715/3037</t>
  </si>
  <si>
    <t>Karla</t>
  </si>
  <si>
    <t>Mužátková</t>
  </si>
  <si>
    <t>030909/5215</t>
  </si>
  <si>
    <t>Gabriela</t>
  </si>
  <si>
    <t>Puškášová</t>
  </si>
  <si>
    <t>030927/5230</t>
  </si>
  <si>
    <t>Rapcsáková</t>
  </si>
  <si>
    <t>592 03</t>
  </si>
  <si>
    <t>045629/3035</t>
  </si>
  <si>
    <t>Starý</t>
  </si>
  <si>
    <t>045828/3023</t>
  </si>
  <si>
    <t>Adriana</t>
  </si>
  <si>
    <t>Zábršová</t>
  </si>
  <si>
    <t>045302/4143</t>
  </si>
  <si>
    <t>Dominika</t>
  </si>
  <si>
    <t>045330/4137</t>
  </si>
  <si>
    <t>Ladislav</t>
  </si>
  <si>
    <t>Žák</t>
  </si>
  <si>
    <t>040518/3020</t>
  </si>
  <si>
    <t>Michal</t>
  </si>
  <si>
    <t>Ženčúch</t>
  </si>
  <si>
    <t>045219/4138</t>
  </si>
  <si>
    <t>045219/4149</t>
  </si>
  <si>
    <t>Budíková</t>
  </si>
  <si>
    <t>030731/5228</t>
  </si>
  <si>
    <t>Černý</t>
  </si>
  <si>
    <t>030914/5232</t>
  </si>
  <si>
    <t>030814/5233</t>
  </si>
  <si>
    <t>Hanych</t>
  </si>
  <si>
    <t>045217/4140</t>
  </si>
  <si>
    <t>040321/4141</t>
  </si>
  <si>
    <t>040228/4146</t>
  </si>
  <si>
    <t>Houser</t>
  </si>
  <si>
    <t>030727/5221</t>
  </si>
  <si>
    <t>Hudeček</t>
  </si>
  <si>
    <t>030727/5232</t>
  </si>
  <si>
    <t>Humlíčková</t>
  </si>
  <si>
    <t>045928/0613</t>
  </si>
  <si>
    <t>Šárka</t>
  </si>
  <si>
    <t>Janečková</t>
  </si>
  <si>
    <t>030714/5234</t>
  </si>
  <si>
    <t>Kocanda</t>
  </si>
  <si>
    <t>030408/5243</t>
  </si>
  <si>
    <t>Kocová</t>
  </si>
  <si>
    <t>035912/5217</t>
  </si>
  <si>
    <t>Košíková</t>
  </si>
  <si>
    <t>045406/3027</t>
  </si>
  <si>
    <t>Martina</t>
  </si>
  <si>
    <t>040701/3035</t>
  </si>
  <si>
    <t>Kubíková</t>
  </si>
  <si>
    <t>045210/4147</t>
  </si>
  <si>
    <t>Neubrand</t>
  </si>
  <si>
    <t>035723/5219</t>
  </si>
  <si>
    <t>Palová</t>
  </si>
  <si>
    <t>036115/4332</t>
  </si>
  <si>
    <t>Poul</t>
  </si>
  <si>
    <t>045722/3041</t>
  </si>
  <si>
    <t>Slámová</t>
  </si>
  <si>
    <t>030829/0070</t>
  </si>
  <si>
    <t>Pavlína</t>
  </si>
  <si>
    <t>036221/5216</t>
  </si>
  <si>
    <t>Víšková</t>
  </si>
  <si>
    <t>031224/5219</t>
  </si>
  <si>
    <t>Žváček</t>
  </si>
  <si>
    <t>046102/3024</t>
  </si>
  <si>
    <t>Košík</t>
  </si>
  <si>
    <t>045610/3021</t>
  </si>
  <si>
    <t>Král</t>
  </si>
  <si>
    <t>045522/3032</t>
  </si>
  <si>
    <t>Lucie</t>
  </si>
  <si>
    <t>Lukešová</t>
  </si>
  <si>
    <t>040613/3024</t>
  </si>
  <si>
    <t>Mičková</t>
  </si>
  <si>
    <t>040217/4146</t>
  </si>
  <si>
    <t>Peňázová</t>
  </si>
  <si>
    <t>040708/3050</t>
  </si>
  <si>
    <t>Miloslav</t>
  </si>
  <si>
    <t>Vencálek</t>
  </si>
  <si>
    <t>036216/5243</t>
  </si>
  <si>
    <t>Beneš</t>
  </si>
  <si>
    <t>045409/3035</t>
  </si>
  <si>
    <t>Růžena</t>
  </si>
  <si>
    <t>036209/5217</t>
  </si>
  <si>
    <t>030806/5241</t>
  </si>
  <si>
    <t>Jurdová</t>
  </si>
  <si>
    <t>021208/5225</t>
  </si>
  <si>
    <t>Sára</t>
  </si>
  <si>
    <t>Klimešová</t>
  </si>
  <si>
    <t>035216/5220</t>
  </si>
  <si>
    <t>Kryštof</t>
  </si>
  <si>
    <t>Komínek</t>
  </si>
  <si>
    <t>030505/5234</t>
  </si>
  <si>
    <t>Konečný</t>
  </si>
  <si>
    <t>035408/5215</t>
  </si>
  <si>
    <t>Leona</t>
  </si>
  <si>
    <t>Librová</t>
  </si>
  <si>
    <t>035203/5233</t>
  </si>
  <si>
    <t>Ellen</t>
  </si>
  <si>
    <t>Marcinko</t>
  </si>
  <si>
    <t>030202/5218</t>
  </si>
  <si>
    <t>Jaromír</t>
  </si>
  <si>
    <t>Mráz</t>
  </si>
  <si>
    <t>030424/5227</t>
  </si>
  <si>
    <t>Eliška Marie</t>
  </si>
  <si>
    <t>026217/4231</t>
  </si>
  <si>
    <t>035528/5216</t>
  </si>
  <si>
    <t>Prokopová</t>
  </si>
  <si>
    <t>030310/5220</t>
  </si>
  <si>
    <t>Rosecká</t>
  </si>
  <si>
    <t>026120/5219</t>
  </si>
  <si>
    <t>025917/5224</t>
  </si>
  <si>
    <t>Slonek</t>
  </si>
  <si>
    <t>035604/5217</t>
  </si>
  <si>
    <t>Antonie</t>
  </si>
  <si>
    <t>035114/5223</t>
  </si>
  <si>
    <t>Srnský</t>
  </si>
  <si>
    <t>020808/5229</t>
  </si>
  <si>
    <t>Sebastian</t>
  </si>
  <si>
    <t>Suchý</t>
  </si>
  <si>
    <t>030811/5225</t>
  </si>
  <si>
    <t>Svatoňová</t>
  </si>
  <si>
    <t>035509/5224</t>
  </si>
  <si>
    <t>Štěpnička</t>
  </si>
  <si>
    <t>020909/5216</t>
  </si>
  <si>
    <t>Ťupová</t>
  </si>
  <si>
    <t>030207/5224</t>
  </si>
  <si>
    <t>Daniela</t>
  </si>
  <si>
    <t>035101/5236</t>
  </si>
  <si>
    <t>Duda</t>
  </si>
  <si>
    <t>030426/5225</t>
  </si>
  <si>
    <t>Havlíková</t>
  </si>
  <si>
    <t>035619/4278</t>
  </si>
  <si>
    <t>Hlaváč</t>
  </si>
  <si>
    <t>035629/5236</t>
  </si>
  <si>
    <t>Radek</t>
  </si>
  <si>
    <t>030204/4215</t>
  </si>
  <si>
    <t>035120/5217</t>
  </si>
  <si>
    <t>Ivaničová</t>
  </si>
  <si>
    <t>020714/5224</t>
  </si>
  <si>
    <t>Krejčí</t>
  </si>
  <si>
    <t>020528/5223</t>
  </si>
  <si>
    <t>Malinová</t>
  </si>
  <si>
    <t>035524/4274</t>
  </si>
  <si>
    <t>Mojžíšová</t>
  </si>
  <si>
    <t>035111/5226</t>
  </si>
  <si>
    <t>Eva</t>
  </si>
  <si>
    <t>Mošnerová</t>
  </si>
  <si>
    <t>030125/5218</t>
  </si>
  <si>
    <t>Mrázková</t>
  </si>
  <si>
    <t>592 57</t>
  </si>
  <si>
    <t>025918/5223</t>
  </si>
  <si>
    <t>Němeček</t>
  </si>
  <si>
    <t>035410/5224</t>
  </si>
  <si>
    <t>Novotná</t>
  </si>
  <si>
    <t>026107/5221</t>
  </si>
  <si>
    <t>Pelikán</t>
  </si>
  <si>
    <t>025621/5223</t>
  </si>
  <si>
    <t>Peňáz</t>
  </si>
  <si>
    <t>030612/5215</t>
  </si>
  <si>
    <t>Beáta</t>
  </si>
  <si>
    <t>Podařilová</t>
  </si>
  <si>
    <t>025531/5225</t>
  </si>
  <si>
    <t>Berenika</t>
  </si>
  <si>
    <t>030319/5233</t>
  </si>
  <si>
    <t>Svobodová</t>
  </si>
  <si>
    <t>021121/5224</t>
  </si>
  <si>
    <t>Šípek</t>
  </si>
  <si>
    <t>035407/5238</t>
  </si>
  <si>
    <t>Šolcová</t>
  </si>
  <si>
    <t>756 54</t>
  </si>
  <si>
    <t>035407/5227</t>
  </si>
  <si>
    <t>Šrámek</t>
  </si>
  <si>
    <t>025710/5233</t>
  </si>
  <si>
    <t>Trödler</t>
  </si>
  <si>
    <t>020904/5221</t>
  </si>
  <si>
    <t>Večeřová</t>
  </si>
  <si>
    <t>035724/5218</t>
  </si>
  <si>
    <t>Vincenci</t>
  </si>
  <si>
    <t>021228/4215</t>
  </si>
  <si>
    <t>Košťálová</t>
  </si>
  <si>
    <t>020725/4223</t>
  </si>
  <si>
    <t>Ločárková</t>
  </si>
  <si>
    <t>035403/5220</t>
  </si>
  <si>
    <t>Božena</t>
  </si>
  <si>
    <t>026115/5235</t>
  </si>
  <si>
    <t>Josefína</t>
  </si>
  <si>
    <t>Teclová</t>
  </si>
  <si>
    <t>026107/3197</t>
  </si>
  <si>
    <t>Nikol</t>
  </si>
  <si>
    <t>Dítětová</t>
  </si>
  <si>
    <t>035617/5226</t>
  </si>
  <si>
    <t>Dostál</t>
  </si>
  <si>
    <t>035611/5221</t>
  </si>
  <si>
    <t>Drdla</t>
  </si>
  <si>
    <t>035104/3913</t>
  </si>
  <si>
    <t>Filipi</t>
  </si>
  <si>
    <t>025525/4241</t>
  </si>
  <si>
    <t>Hájková</t>
  </si>
  <si>
    <t>010911/5215</t>
  </si>
  <si>
    <t>Halová</t>
  </si>
  <si>
    <t>011206/5261</t>
  </si>
  <si>
    <t>010927/5221</t>
  </si>
  <si>
    <t>Terezie</t>
  </si>
  <si>
    <t>Charvátová</t>
  </si>
  <si>
    <t>025305/5220</t>
  </si>
  <si>
    <t>Kristýna</t>
  </si>
  <si>
    <t>025705/5227</t>
  </si>
  <si>
    <t>025708/5224</t>
  </si>
  <si>
    <t>Jež</t>
  </si>
  <si>
    <t>015702/4120</t>
  </si>
  <si>
    <t>Jinek</t>
  </si>
  <si>
    <t>025619/5236</t>
  </si>
  <si>
    <t>František</t>
  </si>
  <si>
    <t>671 77</t>
  </si>
  <si>
    <t>020227/5227</t>
  </si>
  <si>
    <t>Iveta</t>
  </si>
  <si>
    <t>010610/4218</t>
  </si>
  <si>
    <t>Lukeš</t>
  </si>
  <si>
    <t>020702/5225</t>
  </si>
  <si>
    <t>Mužátko</t>
  </si>
  <si>
    <t>010614/5237</t>
  </si>
  <si>
    <t>Vanessa</t>
  </si>
  <si>
    <t>Pejchlová</t>
  </si>
  <si>
    <t>015720/5235</t>
  </si>
  <si>
    <t>Jarmila</t>
  </si>
  <si>
    <t>Příhodová</t>
  </si>
  <si>
    <t>020119/5236</t>
  </si>
  <si>
    <t>Rovenská</t>
  </si>
  <si>
    <t>020208/5246</t>
  </si>
  <si>
    <t>Skoumal</t>
  </si>
  <si>
    <t>015716/5217</t>
  </si>
  <si>
    <t>025227/5221</t>
  </si>
  <si>
    <t>Roman</t>
  </si>
  <si>
    <t>Svoboda</t>
  </si>
  <si>
    <t>592 51</t>
  </si>
  <si>
    <t>016210/5218</t>
  </si>
  <si>
    <t>Šustr</t>
  </si>
  <si>
    <t>011205/5240</t>
  </si>
  <si>
    <t>Tulis</t>
  </si>
  <si>
    <t>010909/5228</t>
  </si>
  <si>
    <t>Vopršal</t>
  </si>
  <si>
    <t>020114/5219</t>
  </si>
  <si>
    <t>Vrbas</t>
  </si>
  <si>
    <t>020209/5223</t>
  </si>
  <si>
    <t>Brabcová</t>
  </si>
  <si>
    <t>011107/5217</t>
  </si>
  <si>
    <t>Drápová</t>
  </si>
  <si>
    <t>020519/5221</t>
  </si>
  <si>
    <t>Fialová</t>
  </si>
  <si>
    <t>010913/5257</t>
  </si>
  <si>
    <t>Halász</t>
  </si>
  <si>
    <t>015909/5244</t>
  </si>
  <si>
    <t>Radka</t>
  </si>
  <si>
    <t>Havelková</t>
  </si>
  <si>
    <t>025309/5227</t>
  </si>
  <si>
    <t>016129/4144</t>
  </si>
  <si>
    <t>Hrdinová</t>
  </si>
  <si>
    <t>020221/5244</t>
  </si>
  <si>
    <t>Jančíková</t>
  </si>
  <si>
    <t>016002/5228</t>
  </si>
  <si>
    <t>Patrik</t>
  </si>
  <si>
    <t>Janeček</t>
  </si>
  <si>
    <t>020419/5222</t>
  </si>
  <si>
    <t>Jíchová</t>
  </si>
  <si>
    <t>025116/3198</t>
  </si>
  <si>
    <t>Junová</t>
  </si>
  <si>
    <t>015923/4328</t>
  </si>
  <si>
    <t>Ločárek</t>
  </si>
  <si>
    <t>020504/5225</t>
  </si>
  <si>
    <t>Mikešová</t>
  </si>
  <si>
    <t>592 04</t>
  </si>
  <si>
    <t>025212/5225</t>
  </si>
  <si>
    <t>025608/5225</t>
  </si>
  <si>
    <t>Arne</t>
  </si>
  <si>
    <t>011225/5220</t>
  </si>
  <si>
    <t>Pelikánová</t>
  </si>
  <si>
    <t>025211/5215</t>
  </si>
  <si>
    <t>015909/5222</t>
  </si>
  <si>
    <t>020408/5222</t>
  </si>
  <si>
    <t>Erika</t>
  </si>
  <si>
    <t>Petrová</t>
  </si>
  <si>
    <t>016010/0226</t>
  </si>
  <si>
    <t>Pivková</t>
  </si>
  <si>
    <t>011206/5239</t>
  </si>
  <si>
    <t>Antonín</t>
  </si>
  <si>
    <t>Pleskač</t>
  </si>
  <si>
    <t>011206/5250</t>
  </si>
  <si>
    <t>Plocková</t>
  </si>
  <si>
    <t>016116/5224</t>
  </si>
  <si>
    <t>Kristina</t>
  </si>
  <si>
    <t>Poulová</t>
  </si>
  <si>
    <t>016001/5229</t>
  </si>
  <si>
    <t>020119/5225</t>
  </si>
  <si>
    <t>025617/5216</t>
  </si>
  <si>
    <t>025522/5223</t>
  </si>
  <si>
    <t>020127/5217</t>
  </si>
  <si>
    <t>Štěpánková</t>
  </si>
  <si>
    <t>011205/5229</t>
  </si>
  <si>
    <t>Zdražil</t>
  </si>
  <si>
    <t>025419/5227</t>
  </si>
  <si>
    <t>010812/3213</t>
  </si>
  <si>
    <t>Ludmila</t>
  </si>
  <si>
    <t>025227/5232</t>
  </si>
  <si>
    <t>011127/5230</t>
  </si>
  <si>
    <t>001225/5232</t>
  </si>
  <si>
    <t>006203/5215</t>
  </si>
  <si>
    <t>Kosař</t>
  </si>
  <si>
    <t>005810/5245</t>
  </si>
  <si>
    <t>000727/5224</t>
  </si>
  <si>
    <t>Andrea</t>
  </si>
  <si>
    <t>Kotovicová</t>
  </si>
  <si>
    <t>000918/5220</t>
  </si>
  <si>
    <t>Petra</t>
  </si>
  <si>
    <t>010623/5217</t>
  </si>
  <si>
    <t>Kovařík</t>
  </si>
  <si>
    <t>015604/5219</t>
  </si>
  <si>
    <t>Kozáčková</t>
  </si>
  <si>
    <t>006120/5221</t>
  </si>
  <si>
    <t>006120/5232</t>
  </si>
  <si>
    <t>Kubcová</t>
  </si>
  <si>
    <t>991117/5241</t>
  </si>
  <si>
    <t>Kulíšek</t>
  </si>
  <si>
    <t>015303/5234</t>
  </si>
  <si>
    <t>Lukášek</t>
  </si>
  <si>
    <t>000426/5217</t>
  </si>
  <si>
    <t>Julie</t>
  </si>
  <si>
    <t>015130/5220</t>
  </si>
  <si>
    <t>Nováková</t>
  </si>
  <si>
    <t>010627/5224</t>
  </si>
  <si>
    <t>010225/5241</t>
  </si>
  <si>
    <t>006124/5217</t>
  </si>
  <si>
    <t>Palečková</t>
  </si>
  <si>
    <t>015609/5225</t>
  </si>
  <si>
    <t>Pavlínková</t>
  </si>
  <si>
    <t>015521/5236</t>
  </si>
  <si>
    <t>015602/5221</t>
  </si>
  <si>
    <t>Polnický</t>
  </si>
  <si>
    <t>015612/5233</t>
  </si>
  <si>
    <t>Erik</t>
  </si>
  <si>
    <t>015203/5224</t>
  </si>
  <si>
    <t>Sáblík</t>
  </si>
  <si>
    <t>010216/5217</t>
  </si>
  <si>
    <t>Libor</t>
  </si>
  <si>
    <t>Sotona</t>
  </si>
  <si>
    <t>010604/5236</t>
  </si>
  <si>
    <t>Šišková</t>
  </si>
  <si>
    <t>000610/5231</t>
  </si>
  <si>
    <t>Škorpík</t>
  </si>
  <si>
    <t>000407/5225</t>
  </si>
  <si>
    <t>Iva</t>
  </si>
  <si>
    <t>Šmídová</t>
  </si>
  <si>
    <t>001009/5228</t>
  </si>
  <si>
    <t>015124/5226</t>
  </si>
  <si>
    <t>Štěpán</t>
  </si>
  <si>
    <t>Veselý</t>
  </si>
  <si>
    <t>010309/5234</t>
  </si>
  <si>
    <t>Vítek</t>
  </si>
  <si>
    <t>006122/5219</t>
  </si>
  <si>
    <t>Altová</t>
  </si>
  <si>
    <t>000221/4234</t>
  </si>
  <si>
    <t>Bartoň</t>
  </si>
  <si>
    <t>000630/5233</t>
  </si>
  <si>
    <t>Valérie</t>
  </si>
  <si>
    <t>Bártová</t>
  </si>
  <si>
    <t>010520/5221</t>
  </si>
  <si>
    <t>Dominik</t>
  </si>
  <si>
    <t>015622/5223</t>
  </si>
  <si>
    <t>000531/5222</t>
  </si>
  <si>
    <t>Beata</t>
  </si>
  <si>
    <t>Dudová</t>
  </si>
  <si>
    <t>005808/4147</t>
  </si>
  <si>
    <t>010502/5217</t>
  </si>
  <si>
    <t>Hadač</t>
  </si>
  <si>
    <t>006028/5225</t>
  </si>
  <si>
    <t>015710/5113</t>
  </si>
  <si>
    <t>Chudoba</t>
  </si>
  <si>
    <t>010407/5246</t>
  </si>
  <si>
    <t>Bohdana</t>
  </si>
  <si>
    <t>Ivasyuk</t>
  </si>
  <si>
    <t>001026/5233</t>
  </si>
  <si>
    <t>Kadlecová</t>
  </si>
  <si>
    <t>592 44</t>
  </si>
  <si>
    <t>006113/5217</t>
  </si>
  <si>
    <t>000910/5217</t>
  </si>
  <si>
    <t>Krejčík</t>
  </si>
  <si>
    <t>006018/5224</t>
  </si>
  <si>
    <t>015509/5215</t>
  </si>
  <si>
    <t>005926/5217</t>
  </si>
  <si>
    <t>010617/4332</t>
  </si>
  <si>
    <t>Jonáš</t>
  </si>
  <si>
    <t>001220/5237</t>
  </si>
  <si>
    <t>Nedvěd</t>
  </si>
  <si>
    <t>015329/5219</t>
  </si>
  <si>
    <t>Palaščák</t>
  </si>
  <si>
    <t>005906/5215</t>
  </si>
  <si>
    <t>Pintera</t>
  </si>
  <si>
    <t>010213/5220</t>
  </si>
  <si>
    <t>000421/5222</t>
  </si>
  <si>
    <t>001008/0026</t>
  </si>
  <si>
    <t>Vago</t>
  </si>
  <si>
    <t>001212/5234</t>
  </si>
  <si>
    <t>Klára</t>
  </si>
  <si>
    <t>Vencálková</t>
  </si>
  <si>
    <t>015510/5225</t>
  </si>
  <si>
    <t>015721/5223</t>
  </si>
  <si>
    <t>010724/3191</t>
  </si>
  <si>
    <t>015601/5222</t>
  </si>
  <si>
    <t>Natalie</t>
  </si>
  <si>
    <t>Atanasiadu</t>
  </si>
  <si>
    <t>000730/5221</t>
  </si>
  <si>
    <t>Bartoš</t>
  </si>
  <si>
    <t>000522/5231</t>
  </si>
  <si>
    <t>Bartušková</t>
  </si>
  <si>
    <t>010313/5219</t>
  </si>
  <si>
    <t>Bílková</t>
  </si>
  <si>
    <t>005621/5236</t>
  </si>
  <si>
    <t>Blažková</t>
  </si>
  <si>
    <t>000718/5222</t>
  </si>
  <si>
    <t>Jurij</t>
  </si>
  <si>
    <t>Gloziga</t>
  </si>
  <si>
    <t>996124/4700</t>
  </si>
  <si>
    <t>Harvánek</t>
  </si>
  <si>
    <t>995609/5215</t>
  </si>
  <si>
    <t>005730/5215</t>
  </si>
  <si>
    <t>Denis</t>
  </si>
  <si>
    <t>000506/5676</t>
  </si>
  <si>
    <t>Koutník</t>
  </si>
  <si>
    <t>000629/5223</t>
  </si>
  <si>
    <t>Kubík</t>
  </si>
  <si>
    <t>005506/5219</t>
  </si>
  <si>
    <t>Laštovička</t>
  </si>
  <si>
    <t>990617/5224</t>
  </si>
  <si>
    <t>Mihola</t>
  </si>
  <si>
    <t>000424/5230</t>
  </si>
  <si>
    <t>000509/5222</t>
  </si>
  <si>
    <t>991214/5232</t>
  </si>
  <si>
    <t>000215/5230</t>
  </si>
  <si>
    <t>000708/5221</t>
  </si>
  <si>
    <t>000304/5218</t>
  </si>
  <si>
    <t>990811/5217</t>
  </si>
  <si>
    <t>592 02</t>
  </si>
  <si>
    <t>996214/5226</t>
  </si>
  <si>
    <t>Bohuslav</t>
  </si>
  <si>
    <t>Šotola</t>
  </si>
  <si>
    <t>005717/5217</t>
  </si>
  <si>
    <t>005512/5235</t>
  </si>
  <si>
    <t>Topinková</t>
  </si>
  <si>
    <t>005510/5215</t>
  </si>
  <si>
    <t>000203/5220</t>
  </si>
  <si>
    <t>Vopršalová</t>
  </si>
  <si>
    <t>005326/5234</t>
  </si>
  <si>
    <t>Zelený</t>
  </si>
  <si>
    <t>005313/5236</t>
  </si>
  <si>
    <t>Brožová</t>
  </si>
  <si>
    <t>991021/5216</t>
  </si>
  <si>
    <t>Leoš</t>
  </si>
  <si>
    <t>Edlman</t>
  </si>
  <si>
    <t>996211/5218</t>
  </si>
  <si>
    <t>Havlíček</t>
  </si>
  <si>
    <t>991231/5226</t>
  </si>
  <si>
    <t>Alena</t>
  </si>
  <si>
    <t>995804/5218</t>
  </si>
  <si>
    <t>Horák</t>
  </si>
  <si>
    <t>000128/5218</t>
  </si>
  <si>
    <t>Chromý</t>
  </si>
  <si>
    <t>000809/5219</t>
  </si>
  <si>
    <t>Ivana</t>
  </si>
  <si>
    <t>005302/5225</t>
  </si>
  <si>
    <t>000525/5217</t>
  </si>
  <si>
    <t>Jinková</t>
  </si>
  <si>
    <t>991119/5217</t>
  </si>
  <si>
    <t>Klimentová</t>
  </si>
  <si>
    <t>995912/5220</t>
  </si>
  <si>
    <t>990918/5231</t>
  </si>
  <si>
    <t>995819/5225</t>
  </si>
  <si>
    <t>995828/5216</t>
  </si>
  <si>
    <t>Naděžda</t>
  </si>
  <si>
    <t>Kulíková</t>
  </si>
  <si>
    <t>991225/5221</t>
  </si>
  <si>
    <t>990804/5257</t>
  </si>
  <si>
    <t>Medek</t>
  </si>
  <si>
    <t>990819/5220</t>
  </si>
  <si>
    <t>Markéta</t>
  </si>
  <si>
    <t>995708/5237</t>
  </si>
  <si>
    <t>Polášek</t>
  </si>
  <si>
    <t>996031/5222</t>
  </si>
  <si>
    <t>Procházka</t>
  </si>
  <si>
    <t>990702/5227</t>
  </si>
  <si>
    <t>Skalník</t>
  </si>
  <si>
    <t>996113/5217</t>
  </si>
  <si>
    <t>Hynek</t>
  </si>
  <si>
    <t>000829/5232</t>
  </si>
  <si>
    <t>Sotonová</t>
  </si>
  <si>
    <t>990928/5221</t>
  </si>
  <si>
    <t>990727/5224</t>
  </si>
  <si>
    <t>000122/5224</t>
  </si>
  <si>
    <t>Záluská</t>
  </si>
  <si>
    <t>995829/5215</t>
  </si>
  <si>
    <t>Renata</t>
  </si>
  <si>
    <t>000401/5231</t>
  </si>
  <si>
    <t>Bonaventura</t>
  </si>
  <si>
    <t>000127/5230</t>
  </si>
  <si>
    <t>986119/5223</t>
  </si>
  <si>
    <t>Lenka</t>
  </si>
  <si>
    <t>Bukáčková</t>
  </si>
  <si>
    <t>996102/5239</t>
  </si>
  <si>
    <t>991209/5226</t>
  </si>
  <si>
    <t>Soňa</t>
  </si>
  <si>
    <t>990809/5230</t>
  </si>
  <si>
    <t>Gregor</t>
  </si>
  <si>
    <t>005525/5222</t>
  </si>
  <si>
    <t>000805/5234</t>
  </si>
  <si>
    <t>005331/5229</t>
  </si>
  <si>
    <t>000430/5257</t>
  </si>
  <si>
    <t>Hudečková</t>
  </si>
  <si>
    <t>005508/0157</t>
  </si>
  <si>
    <t>Rudolf</t>
  </si>
  <si>
    <t>Koláček</t>
  </si>
  <si>
    <t>000711/5185</t>
  </si>
  <si>
    <t>005627/3206</t>
  </si>
  <si>
    <t>005524/5234</t>
  </si>
  <si>
    <t>000410/5222</t>
  </si>
  <si>
    <t>991212/5234</t>
  </si>
  <si>
    <t>Nečasová</t>
  </si>
  <si>
    <t>000710/5230</t>
  </si>
  <si>
    <t>Německý</t>
  </si>
  <si>
    <t>000725/5226</t>
  </si>
  <si>
    <t>Odehnalová</t>
  </si>
  <si>
    <t>995903/5218</t>
  </si>
  <si>
    <t>005414/5234</t>
  </si>
  <si>
    <t>Sobotková</t>
  </si>
  <si>
    <t>000424/5241</t>
  </si>
  <si>
    <t>005515/5232</t>
  </si>
  <si>
    <t>Šanderová</t>
  </si>
  <si>
    <t>000626/5215</t>
  </si>
  <si>
    <t>005208/5220</t>
  </si>
  <si>
    <t>991014/5223</t>
  </si>
  <si>
    <t>005110/5219</t>
  </si>
  <si>
    <t>990922/5227</t>
  </si>
  <si>
    <t>Fenclová</t>
  </si>
  <si>
    <t>000229/5216</t>
  </si>
  <si>
    <t>Hanychová</t>
  </si>
  <si>
    <t>991220/5215</t>
  </si>
  <si>
    <t>Hladík</t>
  </si>
  <si>
    <t>985921/5234</t>
  </si>
  <si>
    <t>Homolka</t>
  </si>
  <si>
    <t>995723/5222</t>
  </si>
  <si>
    <t>Kaša</t>
  </si>
  <si>
    <t>995227/5223</t>
  </si>
  <si>
    <t>981203/5233</t>
  </si>
  <si>
    <t>990610/5220</t>
  </si>
  <si>
    <t>980731/5254</t>
  </si>
  <si>
    <t>990213/5221</t>
  </si>
  <si>
    <t>Mrkvičková</t>
  </si>
  <si>
    <t>985522/5215</t>
  </si>
  <si>
    <t>Novotný</t>
  </si>
  <si>
    <t>990205/5240</t>
  </si>
  <si>
    <t>Pavla</t>
  </si>
  <si>
    <t>981210/5215</t>
  </si>
  <si>
    <t>985929/5215</t>
  </si>
  <si>
    <t>Pochop</t>
  </si>
  <si>
    <t>981011/5227</t>
  </si>
  <si>
    <t>995423/5225</t>
  </si>
  <si>
    <t>990401/5220</t>
  </si>
  <si>
    <t>Tománková</t>
  </si>
  <si>
    <t>990107/5239</t>
  </si>
  <si>
    <t>Bartoňová</t>
  </si>
  <si>
    <t>976214/5228</t>
  </si>
  <si>
    <t>Věroslav</t>
  </si>
  <si>
    <t>Cihelna</t>
  </si>
  <si>
    <t>981203/5222</t>
  </si>
  <si>
    <t>Crlík</t>
  </si>
  <si>
    <t>995713/5221</t>
  </si>
  <si>
    <t>Dostálová</t>
  </si>
  <si>
    <t>985911/5222</t>
  </si>
  <si>
    <t>980818/2076</t>
  </si>
  <si>
    <t>970528/5216</t>
  </si>
  <si>
    <t>985823/5222</t>
  </si>
  <si>
    <t>995218/5232</t>
  </si>
  <si>
    <t>Machovec</t>
  </si>
  <si>
    <t>990214/5231</t>
  </si>
  <si>
    <t>981107/5219</t>
  </si>
  <si>
    <t>986206/5224</t>
  </si>
  <si>
    <t>980628/5225</t>
  </si>
  <si>
    <t>Puchrová</t>
  </si>
  <si>
    <t>995702/5221</t>
  </si>
  <si>
    <t>981225/5244</t>
  </si>
  <si>
    <t>Šarounová</t>
  </si>
  <si>
    <t>990317/5216</t>
  </si>
  <si>
    <t>Šimek</t>
  </si>
  <si>
    <t>976105/4072</t>
  </si>
  <si>
    <t>Trojánek</t>
  </si>
  <si>
    <t>990315/5218</t>
  </si>
  <si>
    <t>Zdražilová</t>
  </si>
  <si>
    <t>995212/5227</t>
  </si>
  <si>
    <t>990406/5226</t>
  </si>
  <si>
    <t>Zdenka</t>
  </si>
  <si>
    <t>990129/5217</t>
  </si>
  <si>
    <t>Havelka</t>
  </si>
  <si>
    <t>995124/5216</t>
  </si>
  <si>
    <t>Hrdina</t>
  </si>
  <si>
    <t>990609/5221</t>
  </si>
  <si>
    <t>986001/5220</t>
  </si>
  <si>
    <t>990127/5230</t>
  </si>
  <si>
    <t>990127/4361</t>
  </si>
  <si>
    <t>Kučera</t>
  </si>
  <si>
    <t>981016/5233</t>
  </si>
  <si>
    <t>990104/4186</t>
  </si>
  <si>
    <t>Marie</t>
  </si>
  <si>
    <t>995424/5224</t>
  </si>
  <si>
    <t>Obrová</t>
  </si>
  <si>
    <t>990602/4128</t>
  </si>
  <si>
    <t>Vladimír</t>
  </si>
  <si>
    <t>990109/5226</t>
  </si>
  <si>
    <t>995508/3831</t>
  </si>
  <si>
    <t>Rolinek</t>
  </si>
  <si>
    <t>995806/5216</t>
  </si>
  <si>
    <t>Ševčík</t>
  </si>
  <si>
    <t>980904/5224</t>
  </si>
  <si>
    <t>Švárová</t>
  </si>
  <si>
    <t>990624/5239</t>
  </si>
  <si>
    <t>Trávníčková</t>
  </si>
  <si>
    <t>981216/5231</t>
  </si>
  <si>
    <t>Truksová</t>
  </si>
  <si>
    <t>990630/5233</t>
  </si>
  <si>
    <t>986020/5223</t>
  </si>
  <si>
    <t>592 11</t>
  </si>
  <si>
    <t>995329/5220</t>
  </si>
  <si>
    <t>986229/4123</t>
  </si>
  <si>
    <t>Zítka</t>
  </si>
  <si>
    <t>592 50</t>
  </si>
  <si>
    <t>995112/5217</t>
  </si>
  <si>
    <t>986106/5225</t>
  </si>
  <si>
    <t>995705/5218</t>
  </si>
  <si>
    <t>Jamborová</t>
  </si>
  <si>
    <t>990812/5216</t>
  </si>
  <si>
    <t>985729/5217</t>
  </si>
  <si>
    <t>Jandát</t>
  </si>
  <si>
    <t>976229/5224</t>
  </si>
  <si>
    <t>Juračka</t>
  </si>
  <si>
    <t>975715/5221</t>
  </si>
  <si>
    <t>985828/5228</t>
  </si>
  <si>
    <t>970722/4703</t>
  </si>
  <si>
    <t>Kyselý</t>
  </si>
  <si>
    <t>971224/5224</t>
  </si>
  <si>
    <t>980527/5227</t>
  </si>
  <si>
    <t>Macháčková</t>
  </si>
  <si>
    <t>976011/5233</t>
  </si>
  <si>
    <t>Ondráček</t>
  </si>
  <si>
    <t>970225/5222</t>
  </si>
  <si>
    <t>Pejcha</t>
  </si>
  <si>
    <t>985514/5245</t>
  </si>
  <si>
    <t>Prášil</t>
  </si>
  <si>
    <t>975716/5220</t>
  </si>
  <si>
    <t>980320/5258</t>
  </si>
  <si>
    <t>Renáta</t>
  </si>
  <si>
    <t>980103/5244</t>
  </si>
  <si>
    <t>970308/5238</t>
  </si>
  <si>
    <t>Staněk</t>
  </si>
  <si>
    <t>971127/5222</t>
  </si>
  <si>
    <t>Šiška</t>
  </si>
  <si>
    <t>976026/5240</t>
  </si>
  <si>
    <t>Šmída</t>
  </si>
  <si>
    <t>971101/5215</t>
  </si>
  <si>
    <t>980206/5218</t>
  </si>
  <si>
    <t>Tvarůžek</t>
  </si>
  <si>
    <t>970929/5222</t>
  </si>
  <si>
    <t>980519/5235</t>
  </si>
  <si>
    <t>Vrátná</t>
  </si>
  <si>
    <t>980206/5251</t>
  </si>
  <si>
    <t>970804/5237</t>
  </si>
  <si>
    <t>971208/5229</t>
  </si>
  <si>
    <t>985510/4204</t>
  </si>
  <si>
    <t>980608/5234</t>
  </si>
  <si>
    <t>Drdlová</t>
  </si>
  <si>
    <t>980724/5217</t>
  </si>
  <si>
    <t>Havránková</t>
  </si>
  <si>
    <t>985528/4186</t>
  </si>
  <si>
    <t>Henychová</t>
  </si>
  <si>
    <t>985317/5222</t>
  </si>
  <si>
    <t>Holcman</t>
  </si>
  <si>
    <t>976016/5239</t>
  </si>
  <si>
    <t>Hubl</t>
  </si>
  <si>
    <t>985721/5225</t>
  </si>
  <si>
    <t>Janeba</t>
  </si>
  <si>
    <t>985423/5226</t>
  </si>
  <si>
    <t>Janíček</t>
  </si>
  <si>
    <t>980328/5217</t>
  </si>
  <si>
    <t>980427/5217</t>
  </si>
  <si>
    <t>970802/5217</t>
  </si>
  <si>
    <t>971129/5220</t>
  </si>
  <si>
    <t>Křivánková</t>
  </si>
  <si>
    <t>970401/5244</t>
  </si>
  <si>
    <t>985103/5227</t>
  </si>
  <si>
    <t>Okurková</t>
  </si>
  <si>
    <t>970929/5233</t>
  </si>
  <si>
    <t>Pliska</t>
  </si>
  <si>
    <t>975923/5222</t>
  </si>
  <si>
    <t>Pohanková</t>
  </si>
  <si>
    <t>971227/5221</t>
  </si>
  <si>
    <t>Snášelová</t>
  </si>
  <si>
    <t>985222/5218</t>
  </si>
  <si>
    <t>Stará</t>
  </si>
  <si>
    <t>970813/5228</t>
  </si>
  <si>
    <t>975710/5215</t>
  </si>
  <si>
    <t>Štarha</t>
  </si>
  <si>
    <t>975925/5220</t>
  </si>
  <si>
    <t>Vedmochová</t>
  </si>
  <si>
    <t>985725/5221</t>
  </si>
  <si>
    <t>Veselá</t>
  </si>
  <si>
    <t>971020/5241</t>
  </si>
  <si>
    <t>980605/5237</t>
  </si>
  <si>
    <t>Čechalová</t>
  </si>
  <si>
    <t>975512/5215</t>
  </si>
  <si>
    <t>985129/5245</t>
  </si>
  <si>
    <t>Dufková</t>
  </si>
  <si>
    <t>976204/5227</t>
  </si>
  <si>
    <t>975826/5220</t>
  </si>
  <si>
    <t>Holečková</t>
  </si>
  <si>
    <t>980505/4105</t>
  </si>
  <si>
    <t>Horváth</t>
  </si>
  <si>
    <t>976215/5227</t>
  </si>
  <si>
    <t>Juračková</t>
  </si>
  <si>
    <t>970918/5233</t>
  </si>
  <si>
    <t>976101/5220</t>
  </si>
  <si>
    <t>Kocandová</t>
  </si>
  <si>
    <t>971211/5215</t>
  </si>
  <si>
    <t>985703/5232</t>
  </si>
  <si>
    <t>Mazánek</t>
  </si>
  <si>
    <t>980511/5221</t>
  </si>
  <si>
    <t>976216/5226</t>
  </si>
  <si>
    <t>970315/5231</t>
  </si>
  <si>
    <t>Ohrazda</t>
  </si>
  <si>
    <t>970516/5217</t>
  </si>
  <si>
    <t>971019/5220</t>
  </si>
  <si>
    <t>Pleskačová</t>
  </si>
  <si>
    <t>980610/5243</t>
  </si>
  <si>
    <t>Roháček</t>
  </si>
  <si>
    <t>980513/5230</t>
  </si>
  <si>
    <t>Švandová</t>
  </si>
  <si>
    <t>980110/5226</t>
  </si>
  <si>
    <t>Kamila</t>
  </si>
  <si>
    <t>975919/5226</t>
  </si>
  <si>
    <t>971105/5233</t>
  </si>
  <si>
    <t>Philip</t>
  </si>
  <si>
    <t>Trommelen</t>
  </si>
  <si>
    <t>976124/5219</t>
  </si>
  <si>
    <t>Marta</t>
  </si>
  <si>
    <t>985409/5218</t>
  </si>
  <si>
    <t>Večeřa</t>
  </si>
  <si>
    <t>970824/4183</t>
  </si>
  <si>
    <t>Vraspír</t>
  </si>
  <si>
    <t>970909/5220</t>
  </si>
  <si>
    <t>975927/5218</t>
  </si>
  <si>
    <t>970507/5226</t>
  </si>
  <si>
    <t>FULL NAME</t>
  </si>
  <si>
    <t>MAX</t>
  </si>
  <si>
    <t>MIN</t>
  </si>
  <si>
    <t>Najete km</t>
  </si>
  <si>
    <t xml:space="preserve">typ </t>
  </si>
  <si>
    <t>MAX km.</t>
  </si>
  <si>
    <t>Použite funkce</t>
  </si>
  <si>
    <t>POHLAVÍ (UPR)</t>
  </si>
  <si>
    <t>MIN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</si>
</sst>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MS Sans Serif"/>
    </font>
    <font>
      <b/>
      <sz val="10"/>
      <name val="MS Sans Serif"/>
      <charset val="238"/>
    </font>
    <font>
      <sz val="11"/>
      <color theme="1"/>
      <name val="Calibri"/>
      <family val="2"/>
      <scheme val="minor"/>
    </font>
    <font>
      <b/>
      <sz val="10"/>
      <color theme="0"/>
      <name val="MS Sans Serif"/>
      <charset val="238"/>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3" tint="0.39997558519241921"/>
        <bgColor indexed="64"/>
      </patternFill>
    </fill>
    <fill>
      <patternFill patternType="solid">
        <fgColor rgb="FF92D050"/>
        <bgColor indexed="64"/>
      </patternFill>
    </fill>
    <fill>
      <patternFill patternType="solid">
        <fgColor theme="1"/>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18">
    <xf numFmtId="0" fontId="0" fillId="0" borderId="0" xfId="0"/>
    <xf numFmtId="4" fontId="0" fillId="0" borderId="0" xfId="0" applyNumberFormat="1"/>
    <xf numFmtId="0" fontId="0" fillId="0" borderId="1" xfId="0" applyBorder="1"/>
    <xf numFmtId="4" fontId="0" fillId="0" borderId="1" xfId="0" applyNumberFormat="1" applyBorder="1" applyAlignment="1">
      <alignment vertical="center"/>
    </xf>
    <xf numFmtId="0" fontId="1" fillId="0" borderId="0" xfId="0" applyFont="1" applyAlignment="1">
      <alignment horizontal="center"/>
    </xf>
    <xf numFmtId="0" fontId="1" fillId="0" borderId="1" xfId="0" applyFont="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0" borderId="3" xfId="0" applyFont="1" applyBorder="1"/>
    <xf numFmtId="0" fontId="2" fillId="0" borderId="0" xfId="1"/>
    <xf numFmtId="14" fontId="2" fillId="0" borderId="0" xfId="1" applyNumberFormat="1" applyAlignment="1">
      <alignment vertical="center"/>
    </xf>
    <xf numFmtId="0" fontId="0" fillId="2" borderId="1" xfId="0" applyFill="1" applyBorder="1"/>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6" borderId="1" xfId="0" applyFont="1" applyFill="1" applyBorder="1" applyAlignment="1">
      <alignment horizontal="center"/>
    </xf>
    <xf numFmtId="0" fontId="3" fillId="7" borderId="1" xfId="0" applyFont="1" applyFill="1" applyBorder="1" applyAlignment="1">
      <alignment horizontal="center"/>
    </xf>
    <xf numFmtId="0" fontId="3" fillId="8" borderId="1" xfId="0" applyFont="1" applyFill="1" applyBorder="1" applyAlignment="1">
      <alignment horizontal="center"/>
    </xf>
    <xf numFmtId="0" fontId="3" fillId="5" borderId="1" xfId="0" applyFont="1" applyFill="1" applyBorder="1" applyAlignment="1">
      <alignment horizontal="center"/>
    </xf>
  </cellXfs>
  <cellStyles count="2">
    <cellStyle name="Normal" xfId="0" builtinId="0"/>
    <cellStyle name="Normal 2" xfId="1" xr:uid="{E33FEDA8-57E7-4B68-A3C3-E4AE9C146AAD}"/>
  </cellStyles>
  <dxfs count="2">
    <dxf>
      <numFmt numFmtId="0" formatCode="General"/>
    </dxf>
    <dxf>
      <numFmt numFmtId="19" formatCode="dd/mm/yyyy"/>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cs-CZ"/>
              <a:t>Počet aut</a:t>
            </a:r>
            <a:endParaRPr lang="en-US"/>
          </a:p>
        </c:rich>
      </c:tx>
      <c:layout>
        <c:manualLayout>
          <c:xMode val="edge"/>
          <c:yMode val="edge"/>
          <c:x val="0.38193044619422573"/>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bazar!$N$4</c:f>
              <c:strCache>
                <c:ptCount val="1"/>
                <c:pt idx="0">
                  <c:v>Celkový počet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bazar!$M$5:$M$9</c:f>
              <c:strCache>
                <c:ptCount val="5"/>
                <c:pt idx="0">
                  <c:v>Škoda</c:v>
                </c:pt>
                <c:pt idx="1">
                  <c:v>Ford</c:v>
                </c:pt>
                <c:pt idx="2">
                  <c:v>Toyota</c:v>
                </c:pt>
                <c:pt idx="3">
                  <c:v>Fiat</c:v>
                </c:pt>
                <c:pt idx="4">
                  <c:v>Mazda</c:v>
                </c:pt>
              </c:strCache>
            </c:strRef>
          </c:cat>
          <c:val>
            <c:numRef>
              <c:f>bazar!$N$5:$N$9</c:f>
              <c:numCache>
                <c:formatCode>General</c:formatCode>
                <c:ptCount val="5"/>
                <c:pt idx="0">
                  <c:v>22</c:v>
                </c:pt>
                <c:pt idx="1">
                  <c:v>10</c:v>
                </c:pt>
                <c:pt idx="2">
                  <c:v>5</c:v>
                </c:pt>
                <c:pt idx="3">
                  <c:v>16</c:v>
                </c:pt>
                <c:pt idx="4">
                  <c:v>7</c:v>
                </c:pt>
              </c:numCache>
            </c:numRef>
          </c:val>
          <c:extLst>
            <c:ext xmlns:c16="http://schemas.microsoft.com/office/drawing/2014/chart" uri="{C3380CC4-5D6E-409C-BE32-E72D297353CC}">
              <c16:uniqueId val="{00000000-15D7-4C99-8D76-CFB2B9DD2745}"/>
            </c:ext>
          </c:extLst>
        </c:ser>
        <c:dLbls>
          <c:dLblPos val="outEnd"/>
          <c:showLegendKey val="0"/>
          <c:showVal val="1"/>
          <c:showCatName val="0"/>
          <c:showSerName val="0"/>
          <c:showPercent val="0"/>
          <c:showBubbleSize val="0"/>
        </c:dLbls>
        <c:gapWidth val="100"/>
        <c:overlap val="-24"/>
        <c:axId val="1111710080"/>
        <c:axId val="1111727360"/>
      </c:barChart>
      <c:catAx>
        <c:axId val="1111710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27360"/>
        <c:crosses val="autoZero"/>
        <c:auto val="1"/>
        <c:lblAlgn val="ctr"/>
        <c:lblOffset val="100"/>
        <c:noMultiLvlLbl val="0"/>
      </c:catAx>
      <c:valAx>
        <c:axId val="11117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0080"/>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916666666666677"/>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bazar!$O$4</c:f>
              <c:strCache>
                <c:ptCount val="1"/>
                <c:pt idx="0">
                  <c:v>Celková cena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bazar!$M$5:$M$9</c:f>
              <c:strCache>
                <c:ptCount val="5"/>
                <c:pt idx="0">
                  <c:v>Škoda</c:v>
                </c:pt>
                <c:pt idx="1">
                  <c:v>Ford</c:v>
                </c:pt>
                <c:pt idx="2">
                  <c:v>Toyota</c:v>
                </c:pt>
                <c:pt idx="3">
                  <c:v>Fiat</c:v>
                </c:pt>
                <c:pt idx="4">
                  <c:v>Mazda</c:v>
                </c:pt>
              </c:strCache>
            </c:strRef>
          </c:cat>
          <c:val>
            <c:numRef>
              <c:f>bazar!$O$5:$O$9</c:f>
              <c:numCache>
                <c:formatCode>General</c:formatCode>
                <c:ptCount val="5"/>
                <c:pt idx="0">
                  <c:v>2712100</c:v>
                </c:pt>
                <c:pt idx="1">
                  <c:v>796000</c:v>
                </c:pt>
                <c:pt idx="2">
                  <c:v>248000</c:v>
                </c:pt>
                <c:pt idx="3">
                  <c:v>1456800</c:v>
                </c:pt>
                <c:pt idx="4">
                  <c:v>441000</c:v>
                </c:pt>
              </c:numCache>
            </c:numRef>
          </c:val>
          <c:extLst>
            <c:ext xmlns:c16="http://schemas.microsoft.com/office/drawing/2014/chart" uri="{C3380CC4-5D6E-409C-BE32-E72D297353CC}">
              <c16:uniqueId val="{00000000-6FD3-4A13-8344-748DCCEE86B3}"/>
            </c:ext>
          </c:extLst>
        </c:ser>
        <c:dLbls>
          <c:dLblPos val="outEnd"/>
          <c:showLegendKey val="0"/>
          <c:showVal val="1"/>
          <c:showCatName val="0"/>
          <c:showSerName val="0"/>
          <c:showPercent val="0"/>
          <c:showBubbleSize val="0"/>
        </c:dLbls>
        <c:gapWidth val="100"/>
        <c:overlap val="-24"/>
        <c:axId val="1111679360"/>
        <c:axId val="1111688000"/>
      </c:barChart>
      <c:catAx>
        <c:axId val="1111679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88000"/>
        <c:crosses val="autoZero"/>
        <c:auto val="1"/>
        <c:lblAlgn val="ctr"/>
        <c:lblOffset val="100"/>
        <c:noMultiLvlLbl val="0"/>
      </c:catAx>
      <c:valAx>
        <c:axId val="111168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79360"/>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167640</xdr:colOff>
      <xdr:row>30</xdr:row>
      <xdr:rowOff>0</xdr:rowOff>
    </xdr:from>
    <xdr:to>
      <xdr:col>15</xdr:col>
      <xdr:colOff>45720</xdr:colOff>
      <xdr:row>47</xdr:row>
      <xdr:rowOff>22860</xdr:rowOff>
    </xdr:to>
    <xdr:graphicFrame macro="">
      <xdr:nvGraphicFramePr>
        <xdr:cNvPr id="3" name="Chart 2">
          <a:extLst>
            <a:ext uri="{FF2B5EF4-FFF2-40B4-BE49-F238E27FC236}">
              <a16:creationId xmlns:a16="http://schemas.microsoft.com/office/drawing/2014/main" id="{4EFCCA48-7A38-2914-4DF5-A90B2895E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259080</xdr:colOff>
      <xdr:row>29</xdr:row>
      <xdr:rowOff>152400</xdr:rowOff>
    </xdr:from>
    <xdr:to>
      <xdr:col>23</xdr:col>
      <xdr:colOff>60960</xdr:colOff>
      <xdr:row>47</xdr:row>
      <xdr:rowOff>15240</xdr:rowOff>
    </xdr:to>
    <xdr:graphicFrame macro="">
      <xdr:nvGraphicFramePr>
        <xdr:cNvPr id="4" name="Chart 3">
          <a:extLst>
            <a:ext uri="{FF2B5EF4-FFF2-40B4-BE49-F238E27FC236}">
              <a16:creationId xmlns:a16="http://schemas.microsoft.com/office/drawing/2014/main" id="{691D6C9D-9529-F762-267F-BF57E47C9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53340</xdr:colOff>
      <xdr:row>0</xdr:row>
      <xdr:rowOff>30480</xdr:rowOff>
    </xdr:from>
    <xdr:to>
      <xdr:col>13</xdr:col>
      <xdr:colOff>53340</xdr:colOff>
      <xdr:row>7</xdr:row>
      <xdr:rowOff>175260</xdr:rowOff>
    </xdr:to>
    <mc:AlternateContent xmlns:mc="http://schemas.openxmlformats.org/markup-compatibility/2006" xmlns:sle15="http://schemas.microsoft.com/office/drawing/2012/slicer">
      <mc:Choice Requires="sle15">
        <xdr:graphicFrame macro="">
          <xdr:nvGraphicFramePr>
            <xdr:cNvPr id="4" name="Místo narození">
              <a:extLst>
                <a:ext uri="{FF2B5EF4-FFF2-40B4-BE49-F238E27FC236}">
                  <a16:creationId xmlns:a16="http://schemas.microsoft.com/office/drawing/2014/main" id="{8C69D0A2-B287-C345-93A7-BACC2F1F0A90}"/>
                </a:ext>
              </a:extLst>
            </xdr:cNvPr>
            <xdr:cNvGraphicFramePr/>
          </xdr:nvGraphicFramePr>
          <xdr:xfrm>
            <a:off x="0" y="0"/>
            <a:ext cx="0" cy="0"/>
          </xdr:xfrm>
          <a:graphic>
            <a:graphicData uri="http://schemas.microsoft.com/office/drawing/2010/slicer">
              <sle:slicer xmlns:sle="http://schemas.microsoft.com/office/drawing/2010/slicer" name="Místo narození"/>
            </a:graphicData>
          </a:graphic>
        </xdr:graphicFrame>
      </mc:Choice>
      <mc:Fallback xmlns="">
        <xdr:sp macro="" textlink="">
          <xdr:nvSpPr>
            <xdr:cNvPr id="0" name=""/>
            <xdr:cNvSpPr>
              <a:spLocks noTextEdit="1"/>
            </xdr:cNvSpPr>
          </xdr:nvSpPr>
          <xdr:spPr>
            <a:xfrm>
              <a:off x="9334500" y="30480"/>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220980</xdr:colOff>
      <xdr:row>0</xdr:row>
      <xdr:rowOff>68581</xdr:rowOff>
    </xdr:from>
    <xdr:to>
      <xdr:col>16</xdr:col>
      <xdr:colOff>220980</xdr:colOff>
      <xdr:row>7</xdr:row>
      <xdr:rowOff>175260</xdr:rowOff>
    </xdr:to>
    <mc:AlternateContent xmlns:mc="http://schemas.openxmlformats.org/markup-compatibility/2006" xmlns:sle15="http://schemas.microsoft.com/office/drawing/2012/slicer">
      <mc:Choice Requires="sle15">
        <xdr:graphicFrame macro="">
          <xdr:nvGraphicFramePr>
            <xdr:cNvPr id="5" name="Pohlaví">
              <a:extLst>
                <a:ext uri="{FF2B5EF4-FFF2-40B4-BE49-F238E27FC236}">
                  <a16:creationId xmlns:a16="http://schemas.microsoft.com/office/drawing/2014/main" id="{43B07C53-F82B-1A9D-FE7C-FEBE3B5AB6A5}"/>
                </a:ext>
              </a:extLst>
            </xdr:cNvPr>
            <xdr:cNvGraphicFramePr/>
          </xdr:nvGraphicFramePr>
          <xdr:xfrm>
            <a:off x="0" y="0"/>
            <a:ext cx="0" cy="0"/>
          </xdr:xfrm>
          <a:graphic>
            <a:graphicData uri="http://schemas.microsoft.com/office/drawing/2010/slicer">
              <sle:slicer xmlns:sle="http://schemas.microsoft.com/office/drawing/2010/slicer" name="Pohlaví"/>
            </a:graphicData>
          </a:graphic>
        </xdr:graphicFrame>
      </mc:Choice>
      <mc:Fallback xmlns="">
        <xdr:sp macro="" textlink="">
          <xdr:nvSpPr>
            <xdr:cNvPr id="0" name=""/>
            <xdr:cNvSpPr>
              <a:spLocks noTextEdit="1"/>
            </xdr:cNvSpPr>
          </xdr:nvSpPr>
          <xdr:spPr>
            <a:xfrm>
              <a:off x="11330940" y="68581"/>
              <a:ext cx="1828800" cy="13868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TO_NAR" xr10:uid="{6DCFA7DD-D7C5-4D25-9DAA-19950D3E38EC}" sourceName="MISTO_NAR">
  <extLst>
    <x:ext xmlns:x15="http://schemas.microsoft.com/office/spreadsheetml/2010/11/main" uri="{2F2917AC-EB37-4324-AD4E-5DD8C200BD13}">
      <x15:tableSlicerCache tableId="1"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A9277E01-EC07-43F4-8768-73ED86745E53}" sourceName="POHLAVÍ (UPR)">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ísto narození" xr10:uid="{C908CD1D-B654-4EFB-8810-B5846B52A18A}" cache="Slicer_MISTO_NAR" caption="Místo narození" rowHeight="222250"/>
  <slicer name="Pohlaví" xr10:uid="{94C899F3-ED7C-48C5-A890-2CE169B6F0C1}" cache="Slicer_Column1" caption="Pohlaví"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819C1-72FD-409F-B607-B792FF27716A}" name="Table1" displayName="Table1" ref="A1:J532" totalsRowShown="0" headerRowCellStyle="Normal 2" dataCellStyle="Normal 2">
  <autoFilter ref="A1:J532" xr:uid="{44D819C1-72FD-409F-B607-B792FF27716A}"/>
  <tableColumns count="10">
    <tableColumn id="1" xr3:uid="{077BB3F5-B1BC-4A06-9625-3BA448C8F8BA}" name="JMENO" dataCellStyle="Normal 2"/>
    <tableColumn id="2" xr3:uid="{C667DE0A-0041-4EAC-AB0F-7D8D5E23FEA9}" name="PRIJMENI" dataCellStyle="Normal 2"/>
    <tableColumn id="3" xr3:uid="{29E615EC-A7FD-4E1D-8AA5-78720117A7B3}" name="PSC" dataCellStyle="Normal 2"/>
    <tableColumn id="4" xr3:uid="{448A06BC-E126-4E30-B05E-8A8B3236EBE1}" name="DATUM_NAR" dataDxfId="1" dataCellStyle="Normal 2"/>
    <tableColumn id="5" xr3:uid="{C0E4F30D-3BD8-4F0F-8BF5-FCFAE635FF98}" name="RODNE_C" dataCellStyle="Normal 2"/>
    <tableColumn id="6" xr3:uid="{7C174907-0E9D-4BFD-AF45-FD6296700A7C}" name="POHLAVI" dataCellStyle="Normal 2"/>
    <tableColumn id="11" xr3:uid="{B4136444-BEDB-4AE3-9D63-E7AE3142AFC1}" name="POHLAVÍ (UPR)" dataDxfId="0" dataCellStyle="Normal 2">
      <calculatedColumnFormula>IF(Table1[[#This Row],[POHLAVI]]="M","Muž", "Žena")</calculatedColumnFormula>
    </tableColumn>
    <tableColumn id="7" xr3:uid="{FCE74745-3A36-46C3-BA28-EAE9A453F9A7}" name="EVID_CISLO" dataCellStyle="Normal 2"/>
    <tableColumn id="8" xr3:uid="{7DACE7F6-3342-4A2F-837C-6B28D0270F37}" name="MISTO_NAR" dataCellStyle="Normal 2"/>
    <tableColumn id="9" xr3:uid="{879FE1B3-E898-4197-8C49-9241E560FA92}" name="FULL NAME">
      <calculatedColumnFormula>_xlfn.TEXTJOIN(" ",1,$A2:$B2)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2"/>
  <sheetViews>
    <sheetView topLeftCell="F1" workbookViewId="0">
      <selection activeCell="O14" sqref="O14"/>
    </sheetView>
  </sheetViews>
  <sheetFormatPr defaultRowHeight="12.6" x14ac:dyDescent="0.25"/>
  <cols>
    <col min="1" max="1" width="13.5546875" customWidth="1"/>
    <col min="6" max="6" width="17" customWidth="1"/>
    <col min="8" max="8" width="13.21875" customWidth="1"/>
    <col min="11" max="11" width="13.21875" bestFit="1" customWidth="1"/>
    <col min="12" max="12" width="12.33203125" bestFit="1" customWidth="1"/>
    <col min="14" max="14" width="12.44140625" bestFit="1" customWidth="1"/>
    <col min="15" max="15" width="12.6640625" customWidth="1"/>
    <col min="16" max="16" width="7.44140625" customWidth="1"/>
    <col min="17" max="17" width="11.5546875" customWidth="1"/>
    <col min="18" max="19" width="7.44140625" customWidth="1"/>
    <col min="20" max="20" width="10.44140625" bestFit="1" customWidth="1"/>
    <col min="21" max="21" width="8.44140625" bestFit="1" customWidth="1"/>
  </cols>
  <sheetData>
    <row r="1" spans="1:21" x14ac:dyDescent="0.25">
      <c r="A1" s="6" t="s">
        <v>38</v>
      </c>
      <c r="B1" s="6" t="s">
        <v>0</v>
      </c>
      <c r="C1" s="6" t="s">
        <v>35</v>
      </c>
      <c r="D1" s="6" t="s">
        <v>37</v>
      </c>
      <c r="E1" s="6" t="s">
        <v>1</v>
      </c>
      <c r="F1" s="6" t="s">
        <v>2</v>
      </c>
      <c r="G1" s="6" t="s">
        <v>3</v>
      </c>
      <c r="H1" s="6" t="s">
        <v>4</v>
      </c>
      <c r="I1" s="6" t="s">
        <v>5</v>
      </c>
    </row>
    <row r="2" spans="1:21" x14ac:dyDescent="0.25">
      <c r="A2" s="2">
        <v>1</v>
      </c>
      <c r="B2" s="2" t="s">
        <v>6</v>
      </c>
      <c r="C2" s="2" t="s">
        <v>7</v>
      </c>
      <c r="D2" s="2">
        <v>1998</v>
      </c>
      <c r="E2" s="2" t="s">
        <v>8</v>
      </c>
      <c r="F2" s="2" t="b">
        <v>1</v>
      </c>
      <c r="G2" s="2">
        <v>14500</v>
      </c>
      <c r="H2" s="3">
        <v>80300</v>
      </c>
      <c r="I2" s="2" t="s">
        <v>9</v>
      </c>
    </row>
    <row r="3" spans="1:21" x14ac:dyDescent="0.25">
      <c r="A3" s="2">
        <v>2</v>
      </c>
      <c r="B3" s="2" t="s">
        <v>10</v>
      </c>
      <c r="C3" s="2" t="s">
        <v>11</v>
      </c>
      <c r="D3" s="2">
        <v>1998</v>
      </c>
      <c r="E3" s="2" t="s">
        <v>12</v>
      </c>
      <c r="F3" s="2" t="b">
        <v>0</v>
      </c>
      <c r="G3" s="2">
        <v>254453</v>
      </c>
      <c r="H3" s="3">
        <v>45000</v>
      </c>
      <c r="I3" s="2"/>
    </row>
    <row r="4" spans="1:21" x14ac:dyDescent="0.25">
      <c r="A4" s="2">
        <v>3</v>
      </c>
      <c r="B4" s="2" t="s">
        <v>6</v>
      </c>
      <c r="C4" s="2" t="s">
        <v>7</v>
      </c>
      <c r="D4" s="2">
        <v>1998</v>
      </c>
      <c r="E4" s="2" t="s">
        <v>8</v>
      </c>
      <c r="F4" s="2" t="b">
        <v>1</v>
      </c>
      <c r="G4" s="2">
        <v>53020</v>
      </c>
      <c r="H4" s="3">
        <v>63000</v>
      </c>
      <c r="I4" s="2"/>
      <c r="M4" s="6" t="s">
        <v>41</v>
      </c>
      <c r="N4" s="6" t="s">
        <v>39</v>
      </c>
      <c r="O4" s="6" t="s">
        <v>40</v>
      </c>
      <c r="P4" s="4"/>
      <c r="R4" s="6" t="s">
        <v>1126</v>
      </c>
      <c r="S4" s="6" t="s">
        <v>35</v>
      </c>
      <c r="T4" s="6" t="s">
        <v>1125</v>
      </c>
    </row>
    <row r="5" spans="1:21" x14ac:dyDescent="0.25">
      <c r="A5" s="2">
        <v>4</v>
      </c>
      <c r="B5" s="2" t="s">
        <v>10</v>
      </c>
      <c r="C5" s="2" t="s">
        <v>11</v>
      </c>
      <c r="D5" s="2">
        <v>1998</v>
      </c>
      <c r="E5" s="2" t="s">
        <v>12</v>
      </c>
      <c r="F5" s="2" t="b">
        <v>1</v>
      </c>
      <c r="G5" s="2">
        <v>23205</v>
      </c>
      <c r="H5" s="3">
        <v>102500</v>
      </c>
      <c r="I5" s="2" t="s">
        <v>9</v>
      </c>
      <c r="M5" s="2" t="str" cm="1">
        <f t="array" ref="M5:M9">_xlfn.UNIQUE($C$2:$C$61)</f>
        <v>Škoda</v>
      </c>
      <c r="N5" s="2">
        <f>COUNTIF($C$2:$C$61,$M5)</f>
        <v>22</v>
      </c>
      <c r="O5" s="2">
        <f>SUMIF($C$2:$C$61,$M5,$H$2:$H$61)</f>
        <v>2712100</v>
      </c>
      <c r="Q5" s="11" t="s">
        <v>1127</v>
      </c>
      <c r="R5" s="2" t="str">
        <f>_xlfn.XLOOKUP(MAX($G$2:$G$61),$G$2:$G$61,$B$2:$B$61)</f>
        <v>Corrola</v>
      </c>
      <c r="S5" s="2" t="str">
        <f>_xlfn.XLOOKUP(MAX($G$2:$G$61),$G$2:$G$61,$C$2:$C$61)</f>
        <v>Toyota</v>
      </c>
      <c r="T5" s="2">
        <f>_xlfn.XLOOKUP(MAX($G$2:$G$61),$G$2:$G$61,$G$2:$G$61)</f>
        <v>658963</v>
      </c>
    </row>
    <row r="6" spans="1:21" x14ac:dyDescent="0.25">
      <c r="A6" s="2">
        <v>5</v>
      </c>
      <c r="B6" s="2" t="s">
        <v>13</v>
      </c>
      <c r="C6" s="2" t="s">
        <v>14</v>
      </c>
      <c r="D6" s="2">
        <v>1999</v>
      </c>
      <c r="E6" s="2" t="s">
        <v>12</v>
      </c>
      <c r="F6" s="2" t="b">
        <v>1</v>
      </c>
      <c r="G6" s="2">
        <v>34562</v>
      </c>
      <c r="H6" s="3">
        <v>63000</v>
      </c>
      <c r="I6" s="2"/>
      <c r="M6" s="2" t="str">
        <v>Ford</v>
      </c>
      <c r="N6" s="2">
        <f>COUNTIF($C$2:$C$61,$M6)</f>
        <v>10</v>
      </c>
      <c r="O6" s="2">
        <f>SUMIF($C$2:$C$61,$M6,$H$2:$H$61)</f>
        <v>796000</v>
      </c>
      <c r="Q6" s="11" t="s">
        <v>1130</v>
      </c>
      <c r="R6" s="2" t="str">
        <f>_xlfn.XLOOKUP(MIN($G$2:$G$61),$G$2:$G$61,$B$2:$B$61)</f>
        <v>Mondeo</v>
      </c>
      <c r="S6" s="2" t="str">
        <f>_xlfn.XLOOKUP(MIN($G$2:$G$61),$G$2:$G$61,$C$2:$C$61)</f>
        <v>Ford</v>
      </c>
      <c r="T6" s="2">
        <f>_xlfn.XLOOKUP(MIN($G$2:$G$61),$G$2:$G$61,$G$2:$G$61)</f>
        <v>9000</v>
      </c>
    </row>
    <row r="7" spans="1:21" x14ac:dyDescent="0.25">
      <c r="A7" s="2">
        <v>6</v>
      </c>
      <c r="B7" s="2" t="s">
        <v>15</v>
      </c>
      <c r="C7" s="2" t="s">
        <v>14</v>
      </c>
      <c r="D7" s="2">
        <v>1999</v>
      </c>
      <c r="E7" s="2" t="s">
        <v>8</v>
      </c>
      <c r="F7" s="2" t="b">
        <v>1</v>
      </c>
      <c r="G7" s="2">
        <v>658963</v>
      </c>
      <c r="H7" s="3">
        <v>48000</v>
      </c>
      <c r="I7" s="2"/>
      <c r="M7" s="2" t="str">
        <v>Toyota</v>
      </c>
      <c r="N7" s="2">
        <f>COUNTIF($C$2:$C$61,$M7)</f>
        <v>5</v>
      </c>
      <c r="O7" s="2">
        <f>SUMIF($C$2:$C$61,$M7,$H$2:$H$61)</f>
        <v>248000</v>
      </c>
    </row>
    <row r="8" spans="1:21" x14ac:dyDescent="0.25">
      <c r="A8" s="2">
        <v>7</v>
      </c>
      <c r="B8" s="2" t="s">
        <v>16</v>
      </c>
      <c r="C8" s="2" t="s">
        <v>7</v>
      </c>
      <c r="D8" s="2">
        <v>1999</v>
      </c>
      <c r="E8" s="2" t="s">
        <v>17</v>
      </c>
      <c r="F8" s="2" t="b">
        <v>0</v>
      </c>
      <c r="G8" s="2">
        <v>45890</v>
      </c>
      <c r="H8" s="3">
        <v>3000</v>
      </c>
      <c r="I8" s="2"/>
      <c r="M8" s="2" t="str">
        <v>Fiat</v>
      </c>
      <c r="N8" s="2">
        <f>COUNTIF($C$2:$C$61,$M8)</f>
        <v>16</v>
      </c>
      <c r="O8" s="2">
        <f>SUMIF($C$2:$C$61,$M8,$H$2:$H$61)</f>
        <v>1456800</v>
      </c>
    </row>
    <row r="9" spans="1:21" x14ac:dyDescent="0.25">
      <c r="A9" s="2">
        <v>8</v>
      </c>
      <c r="B9" s="2" t="s">
        <v>18</v>
      </c>
      <c r="C9" s="2" t="s">
        <v>19</v>
      </c>
      <c r="D9" s="2">
        <v>1999</v>
      </c>
      <c r="E9" s="2" t="s">
        <v>8</v>
      </c>
      <c r="F9" s="2" t="b">
        <v>0</v>
      </c>
      <c r="G9" s="2">
        <v>90856</v>
      </c>
      <c r="H9" s="3">
        <v>32000</v>
      </c>
      <c r="I9" s="2" t="s">
        <v>20</v>
      </c>
      <c r="M9" s="2" t="str">
        <v>Mazda</v>
      </c>
      <c r="N9" s="2">
        <f>COUNTIF($C$2:$C$61,$M9)</f>
        <v>7</v>
      </c>
      <c r="O9" s="2">
        <f>SUMIF($C$2:$C$61,$M9,$H$2:$H$61)</f>
        <v>441000</v>
      </c>
    </row>
    <row r="10" spans="1:21" x14ac:dyDescent="0.25">
      <c r="A10" s="2">
        <v>9</v>
      </c>
      <c r="B10" s="2" t="s">
        <v>21</v>
      </c>
      <c r="C10" s="2" t="s">
        <v>7</v>
      </c>
      <c r="D10" s="2">
        <v>1999</v>
      </c>
      <c r="E10" s="2" t="s">
        <v>22</v>
      </c>
      <c r="F10" s="2" t="b">
        <v>1</v>
      </c>
      <c r="G10" s="2">
        <v>60000</v>
      </c>
      <c r="H10" s="3">
        <v>37000</v>
      </c>
      <c r="I10" s="2"/>
      <c r="M10" s="5" t="s">
        <v>36</v>
      </c>
      <c r="N10" s="5">
        <f>SUM(N5:N9)</f>
        <v>60</v>
      </c>
      <c r="O10" s="5">
        <f>SUM(O5:O9)</f>
        <v>5653900</v>
      </c>
    </row>
    <row r="11" spans="1:21" x14ac:dyDescent="0.25">
      <c r="A11" s="2">
        <v>10</v>
      </c>
      <c r="B11" s="2" t="s">
        <v>23</v>
      </c>
      <c r="C11" s="2" t="s">
        <v>7</v>
      </c>
      <c r="D11" s="2">
        <v>1999</v>
      </c>
      <c r="E11" s="2" t="s">
        <v>8</v>
      </c>
      <c r="F11" s="2" t="b">
        <v>0</v>
      </c>
      <c r="G11" s="2">
        <v>18565</v>
      </c>
      <c r="H11" s="3">
        <v>158000</v>
      </c>
      <c r="I11" s="2"/>
    </row>
    <row r="12" spans="1:21" x14ac:dyDescent="0.25">
      <c r="A12" s="2">
        <v>11</v>
      </c>
      <c r="B12" s="2" t="s">
        <v>18</v>
      </c>
      <c r="C12" s="2" t="s">
        <v>19</v>
      </c>
      <c r="D12" s="2">
        <v>1999</v>
      </c>
      <c r="E12" s="2" t="s">
        <v>8</v>
      </c>
      <c r="F12" s="2" t="b">
        <v>0</v>
      </c>
      <c r="G12" s="2">
        <v>11789</v>
      </c>
      <c r="H12" s="3">
        <v>241000</v>
      </c>
      <c r="I12" s="2"/>
    </row>
    <row r="13" spans="1:21" x14ac:dyDescent="0.25">
      <c r="A13" s="2">
        <v>12</v>
      </c>
      <c r="B13" s="2" t="s">
        <v>23</v>
      </c>
      <c r="C13" s="2" t="s">
        <v>7</v>
      </c>
      <c r="D13" s="2">
        <v>1999</v>
      </c>
      <c r="E13" s="2" t="s">
        <v>8</v>
      </c>
      <c r="F13" s="2" t="b">
        <v>0</v>
      </c>
      <c r="G13" s="2">
        <v>260000</v>
      </c>
      <c r="H13" s="3">
        <v>350000</v>
      </c>
      <c r="I13" s="2" t="s">
        <v>20</v>
      </c>
      <c r="L13" s="7" t="s">
        <v>42</v>
      </c>
      <c r="M13" s="7" t="s">
        <v>41</v>
      </c>
      <c r="N13" s="7" t="s">
        <v>43</v>
      </c>
      <c r="O13" s="7" t="s">
        <v>44</v>
      </c>
      <c r="P13" s="12" t="str" cm="1">
        <f t="array" ref="P13:U13">TRANSPOSE(_xlfn.UNIQUE($E$2:$E$61,0))</f>
        <v>žlutá</v>
      </c>
      <c r="Q13" s="13" t="str">
        <v>bílá</v>
      </c>
      <c r="R13" s="17" t="str">
        <v>modrá</v>
      </c>
      <c r="S13" s="14" t="str">
        <v>zelená</v>
      </c>
      <c r="T13" s="15" t="str">
        <v>černá</v>
      </c>
      <c r="U13" s="16" t="str">
        <v>červená</v>
      </c>
    </row>
    <row r="14" spans="1:21" x14ac:dyDescent="0.25">
      <c r="A14" s="2">
        <v>13</v>
      </c>
      <c r="B14" s="2" t="s">
        <v>24</v>
      </c>
      <c r="C14" s="2" t="s">
        <v>7</v>
      </c>
      <c r="D14" s="2">
        <v>2000</v>
      </c>
      <c r="E14" s="2" t="s">
        <v>8</v>
      </c>
      <c r="F14" s="2" t="b">
        <v>0</v>
      </c>
      <c r="G14" s="2">
        <v>78000</v>
      </c>
      <c r="H14" s="3">
        <v>95000</v>
      </c>
      <c r="I14" s="2"/>
      <c r="L14" s="2" t="str" cm="1">
        <f t="array" ref="L14:L28">_xlfn.UNIQUE(B2:B61)</f>
        <v>Favorit</v>
      </c>
      <c r="M14" s="2" t="str">
        <f t="shared" ref="M14:M28" si="0">_xlfn.XLOOKUP($L14,$B$2:$B$61,$C$2:$C$61)</f>
        <v>Škoda</v>
      </c>
      <c r="N14" s="2">
        <f t="shared" ref="N14:N28" si="1">COUNTIFS($B$2:$B$61,$L14,$C$2:$C$61,$M14)</f>
        <v>6</v>
      </c>
      <c r="O14" s="2">
        <f t="shared" ref="O14:O28" si="2">SUMIFS($H$2:$H$61,$B$2:$B$61,$L14,$C$2:$C$61,M14)</f>
        <v>522900</v>
      </c>
      <c r="P14" s="2">
        <f>COUNTIFS($B$2:$B$61,$L14,$C$2:$C$61,$M14,$E$2:$E$61,$P$13)</f>
        <v>4</v>
      </c>
      <c r="Q14" s="2">
        <f>COUNTIFS($B$2:$B$61,$L14,$C$2:$C$61,$M14,$E$2:$E$61,$Q$13)</f>
        <v>0</v>
      </c>
      <c r="R14" s="2">
        <f>COUNTIFS($B$2:$B$61,$L14,$C$2:$C$61,$M14,$E$2:$E$61,$R$13)</f>
        <v>2</v>
      </c>
      <c r="S14" s="2">
        <f>COUNTIFS($B$2:$B$61,$L14,$C$2:$C$61,$M14,$E$2:$E$61,$S$13)</f>
        <v>0</v>
      </c>
      <c r="T14" s="2">
        <f>COUNTIFS($B$2:$B$61,$L14,$C$2:$C$61,$M14,$E$2:$E$61,$T$13)</f>
        <v>0</v>
      </c>
      <c r="U14" s="2">
        <f>COUNTIFS($B$2:$B$61,$L14,$C$2:$C$61,$M14,$E$2:$E$61,$U$13)</f>
        <v>0</v>
      </c>
    </row>
    <row r="15" spans="1:21" x14ac:dyDescent="0.25">
      <c r="A15" s="2">
        <v>14</v>
      </c>
      <c r="B15" s="2" t="s">
        <v>6</v>
      </c>
      <c r="C15" s="2" t="s">
        <v>7</v>
      </c>
      <c r="D15" s="2">
        <v>2000</v>
      </c>
      <c r="E15" s="2" t="s">
        <v>17</v>
      </c>
      <c r="F15" s="2" t="b">
        <v>1</v>
      </c>
      <c r="G15" s="2">
        <v>102502</v>
      </c>
      <c r="H15" s="3">
        <v>36000</v>
      </c>
      <c r="I15" s="2"/>
      <c r="L15" s="2" t="str">
        <v>Mondeo</v>
      </c>
      <c r="M15" s="2" t="str">
        <f t="shared" si="0"/>
        <v>Ford</v>
      </c>
      <c r="N15" s="2">
        <f t="shared" si="1"/>
        <v>6</v>
      </c>
      <c r="O15" s="2">
        <f t="shared" si="2"/>
        <v>578000</v>
      </c>
      <c r="P15" s="2">
        <f t="shared" ref="P15:P28" si="3">COUNTIFS($B$2:$B$61,$L15,$C$2:$C$61,$M15,$E$2:$E$61,$P$13)</f>
        <v>3</v>
      </c>
      <c r="Q15" s="2">
        <f t="shared" ref="Q15:Q28" si="4">COUNTIFS($B$2:$B$61,$L15,$C$2:$C$61,$M15,$E$2:$E$61,$Q$13)</f>
        <v>3</v>
      </c>
      <c r="R15" s="2">
        <f t="shared" ref="R15:R28" si="5">COUNTIFS($B$2:$B$61,$L15,$C$2:$C$61,$M15,$E$2:$E$61,$R$13)</f>
        <v>0</v>
      </c>
      <c r="S15" s="2">
        <f t="shared" ref="S15:S28" si="6">COUNTIFS($B$2:$B$61,$L15,$C$2:$C$61,$M15,$E$2:$E$61,$S$13)</f>
        <v>0</v>
      </c>
      <c r="T15" s="2">
        <f t="shared" ref="T15:T28" si="7">COUNTIFS($B$2:$B$61,$L15,$C$2:$C$61,$M15,$E$2:$E$61,$T$13)</f>
        <v>0</v>
      </c>
      <c r="U15" s="2">
        <f t="shared" ref="U15:U28" si="8">COUNTIFS($B$2:$B$61,$L15,$C$2:$C$61,$M15,$E$2:$E$61,$U$13)</f>
        <v>0</v>
      </c>
    </row>
    <row r="16" spans="1:21" x14ac:dyDescent="0.25">
      <c r="A16" s="2">
        <v>15</v>
      </c>
      <c r="B16" s="2" t="s">
        <v>16</v>
      </c>
      <c r="C16" s="2" t="s">
        <v>7</v>
      </c>
      <c r="D16" s="2">
        <v>1999</v>
      </c>
      <c r="E16" s="2" t="s">
        <v>8</v>
      </c>
      <c r="F16" s="2" t="b">
        <v>0</v>
      </c>
      <c r="G16" s="2">
        <v>250000</v>
      </c>
      <c r="H16" s="3">
        <v>360000</v>
      </c>
      <c r="I16" s="2"/>
      <c r="L16" s="2" t="str">
        <v>Yaris</v>
      </c>
      <c r="M16" s="2" t="str">
        <f t="shared" si="0"/>
        <v>Toyota</v>
      </c>
      <c r="N16" s="2">
        <f t="shared" si="1"/>
        <v>2</v>
      </c>
      <c r="O16" s="2">
        <f t="shared" si="2"/>
        <v>126000</v>
      </c>
      <c r="P16" s="2">
        <f t="shared" si="3"/>
        <v>0</v>
      </c>
      <c r="Q16" s="2">
        <f t="shared" si="4"/>
        <v>2</v>
      </c>
      <c r="R16" s="2">
        <f t="shared" si="5"/>
        <v>0</v>
      </c>
      <c r="S16" s="2">
        <f t="shared" si="6"/>
        <v>0</v>
      </c>
      <c r="T16" s="2">
        <f t="shared" si="7"/>
        <v>0</v>
      </c>
      <c r="U16" s="2">
        <f t="shared" si="8"/>
        <v>0</v>
      </c>
    </row>
    <row r="17" spans="1:21" x14ac:dyDescent="0.25">
      <c r="A17" s="2">
        <v>16</v>
      </c>
      <c r="B17" s="2" t="s">
        <v>23</v>
      </c>
      <c r="C17" s="2" t="s">
        <v>7</v>
      </c>
      <c r="D17" s="2">
        <v>1997</v>
      </c>
      <c r="E17" s="2" t="s">
        <v>8</v>
      </c>
      <c r="F17" s="2" t="b">
        <v>0</v>
      </c>
      <c r="G17" s="2">
        <v>58000</v>
      </c>
      <c r="H17" s="3">
        <v>64000</v>
      </c>
      <c r="I17" s="2"/>
      <c r="L17" s="2" t="str">
        <v>Corrola</v>
      </c>
      <c r="M17" s="2" t="str">
        <f t="shared" si="0"/>
        <v>Toyota</v>
      </c>
      <c r="N17" s="2">
        <f t="shared" si="1"/>
        <v>3</v>
      </c>
      <c r="O17" s="2">
        <f t="shared" si="2"/>
        <v>122000</v>
      </c>
      <c r="P17" s="2">
        <f t="shared" si="3"/>
        <v>1</v>
      </c>
      <c r="Q17" s="2">
        <f t="shared" si="4"/>
        <v>0</v>
      </c>
      <c r="R17" s="2">
        <f t="shared" si="5"/>
        <v>1</v>
      </c>
      <c r="S17" s="2">
        <f t="shared" si="6"/>
        <v>0</v>
      </c>
      <c r="T17" s="2">
        <f t="shared" si="7"/>
        <v>0</v>
      </c>
      <c r="U17" s="2">
        <f t="shared" si="8"/>
        <v>1</v>
      </c>
    </row>
    <row r="18" spans="1:21" x14ac:dyDescent="0.25">
      <c r="A18" s="2">
        <v>17</v>
      </c>
      <c r="B18" s="2" t="s">
        <v>18</v>
      </c>
      <c r="C18" s="2" t="s">
        <v>19</v>
      </c>
      <c r="D18" s="2">
        <v>1997</v>
      </c>
      <c r="E18" s="2" t="s">
        <v>8</v>
      </c>
      <c r="F18" s="2" t="b">
        <v>1</v>
      </c>
      <c r="G18" s="2">
        <v>24800</v>
      </c>
      <c r="H18" s="3">
        <v>142000</v>
      </c>
      <c r="I18" s="2" t="s">
        <v>20</v>
      </c>
      <c r="L18" s="2" t="str">
        <v>Forman</v>
      </c>
      <c r="M18" s="2" t="str">
        <f t="shared" si="0"/>
        <v>Škoda</v>
      </c>
      <c r="N18" s="2">
        <f t="shared" si="1"/>
        <v>4</v>
      </c>
      <c r="O18" s="2">
        <f t="shared" si="2"/>
        <v>518200</v>
      </c>
      <c r="P18" s="2">
        <f t="shared" si="3"/>
        <v>1</v>
      </c>
      <c r="Q18" s="2">
        <f t="shared" si="4"/>
        <v>0</v>
      </c>
      <c r="R18" s="2">
        <f t="shared" si="5"/>
        <v>2</v>
      </c>
      <c r="S18" s="2">
        <f t="shared" si="6"/>
        <v>1</v>
      </c>
      <c r="T18" s="2">
        <f t="shared" si="7"/>
        <v>0</v>
      </c>
      <c r="U18" s="2">
        <f t="shared" si="8"/>
        <v>0</v>
      </c>
    </row>
    <row r="19" spans="1:21" x14ac:dyDescent="0.25">
      <c r="A19" s="2">
        <v>18</v>
      </c>
      <c r="B19" s="2" t="s">
        <v>10</v>
      </c>
      <c r="C19" s="2" t="s">
        <v>11</v>
      </c>
      <c r="D19" s="2">
        <v>1998</v>
      </c>
      <c r="E19" s="2" t="s">
        <v>8</v>
      </c>
      <c r="F19" s="2" t="b">
        <v>1</v>
      </c>
      <c r="G19" s="2">
        <v>14000</v>
      </c>
      <c r="H19" s="3">
        <v>153000</v>
      </c>
      <c r="I19" s="2" t="s">
        <v>25</v>
      </c>
      <c r="L19" s="2" t="str">
        <v>Punto</v>
      </c>
      <c r="M19" s="2" t="str">
        <f t="shared" si="0"/>
        <v>Fiat</v>
      </c>
      <c r="N19" s="2">
        <f t="shared" si="1"/>
        <v>7</v>
      </c>
      <c r="O19" s="2">
        <f t="shared" si="2"/>
        <v>778000</v>
      </c>
      <c r="P19" s="2">
        <f t="shared" si="3"/>
        <v>6</v>
      </c>
      <c r="Q19" s="2">
        <f t="shared" si="4"/>
        <v>0</v>
      </c>
      <c r="R19" s="2">
        <f t="shared" si="5"/>
        <v>0</v>
      </c>
      <c r="S19" s="2">
        <f t="shared" si="6"/>
        <v>1</v>
      </c>
      <c r="T19" s="2">
        <f t="shared" si="7"/>
        <v>0</v>
      </c>
      <c r="U19" s="2">
        <f t="shared" si="8"/>
        <v>0</v>
      </c>
    </row>
    <row r="20" spans="1:21" x14ac:dyDescent="0.25">
      <c r="A20" s="2">
        <v>19</v>
      </c>
      <c r="B20" s="2" t="s">
        <v>18</v>
      </c>
      <c r="C20" s="2" t="s">
        <v>19</v>
      </c>
      <c r="D20" s="2">
        <v>1999</v>
      </c>
      <c r="E20" s="2" t="s">
        <v>8</v>
      </c>
      <c r="F20" s="2" t="b">
        <v>0</v>
      </c>
      <c r="G20" s="2">
        <v>103450</v>
      </c>
      <c r="H20" s="3">
        <v>41000</v>
      </c>
      <c r="I20" s="2" t="s">
        <v>25</v>
      </c>
      <c r="L20" s="2" t="str">
        <v>Octavie</v>
      </c>
      <c r="M20" s="2" t="str">
        <f t="shared" si="0"/>
        <v>Škoda</v>
      </c>
      <c r="N20" s="2">
        <f t="shared" si="1"/>
        <v>3</v>
      </c>
      <c r="O20" s="2">
        <f t="shared" si="2"/>
        <v>131000</v>
      </c>
      <c r="P20" s="2">
        <f t="shared" si="3"/>
        <v>0</v>
      </c>
      <c r="Q20" s="2">
        <f t="shared" si="4"/>
        <v>1</v>
      </c>
      <c r="R20" s="2">
        <f t="shared" si="5"/>
        <v>0</v>
      </c>
      <c r="S20" s="2">
        <f t="shared" si="6"/>
        <v>2</v>
      </c>
      <c r="T20" s="2">
        <f t="shared" si="7"/>
        <v>0</v>
      </c>
      <c r="U20" s="2">
        <f t="shared" si="8"/>
        <v>0</v>
      </c>
    </row>
    <row r="21" spans="1:21" x14ac:dyDescent="0.25">
      <c r="A21" s="2">
        <v>20</v>
      </c>
      <c r="B21" s="2" t="s">
        <v>26</v>
      </c>
      <c r="C21" s="2" t="s">
        <v>19</v>
      </c>
      <c r="D21" s="2">
        <v>1998</v>
      </c>
      <c r="E21" s="2" t="s">
        <v>22</v>
      </c>
      <c r="F21" s="2" t="b">
        <v>0</v>
      </c>
      <c r="G21" s="2">
        <v>175620</v>
      </c>
      <c r="H21" s="3">
        <v>151600</v>
      </c>
      <c r="I21" s="2"/>
      <c r="L21" s="2" t="str">
        <v>Felicie</v>
      </c>
      <c r="M21" s="2" t="str">
        <f t="shared" si="0"/>
        <v>Škoda</v>
      </c>
      <c r="N21" s="2">
        <f t="shared" si="1"/>
        <v>6</v>
      </c>
      <c r="O21" s="2">
        <f t="shared" si="2"/>
        <v>1129000</v>
      </c>
      <c r="P21" s="2">
        <f t="shared" si="3"/>
        <v>5</v>
      </c>
      <c r="Q21" s="2">
        <f t="shared" si="4"/>
        <v>0</v>
      </c>
      <c r="R21" s="2">
        <f t="shared" si="5"/>
        <v>0</v>
      </c>
      <c r="S21" s="2">
        <f t="shared" si="6"/>
        <v>0</v>
      </c>
      <c r="T21" s="2">
        <f t="shared" si="7"/>
        <v>0</v>
      </c>
      <c r="U21" s="2">
        <f t="shared" si="8"/>
        <v>1</v>
      </c>
    </row>
    <row r="22" spans="1:21" x14ac:dyDescent="0.25">
      <c r="A22" s="2">
        <v>21</v>
      </c>
      <c r="B22" s="2" t="s">
        <v>27</v>
      </c>
      <c r="C22" s="2" t="s">
        <v>28</v>
      </c>
      <c r="D22" s="2">
        <v>1998</v>
      </c>
      <c r="E22" s="2" t="s">
        <v>12</v>
      </c>
      <c r="F22" s="2" t="b">
        <v>0</v>
      </c>
      <c r="G22" s="2">
        <v>75432</v>
      </c>
      <c r="H22" s="3">
        <v>45400</v>
      </c>
      <c r="I22" s="2"/>
      <c r="L22" s="2" t="str">
        <v>Fabie</v>
      </c>
      <c r="M22" s="2" t="str">
        <f t="shared" si="0"/>
        <v>Škoda</v>
      </c>
      <c r="N22" s="2">
        <f t="shared" si="1"/>
        <v>3</v>
      </c>
      <c r="O22" s="2">
        <f t="shared" si="2"/>
        <v>411000</v>
      </c>
      <c r="P22" s="2">
        <f t="shared" si="3"/>
        <v>2</v>
      </c>
      <c r="Q22" s="2">
        <f t="shared" si="4"/>
        <v>0</v>
      </c>
      <c r="R22" s="2">
        <f t="shared" si="5"/>
        <v>0</v>
      </c>
      <c r="S22" s="2">
        <f t="shared" si="6"/>
        <v>0</v>
      </c>
      <c r="T22" s="2">
        <f t="shared" si="7"/>
        <v>1</v>
      </c>
      <c r="U22" s="2">
        <f t="shared" si="8"/>
        <v>0</v>
      </c>
    </row>
    <row r="23" spans="1:21" x14ac:dyDescent="0.25">
      <c r="A23" s="2">
        <v>22</v>
      </c>
      <c r="B23" s="2" t="s">
        <v>29</v>
      </c>
      <c r="C23" s="2" t="s">
        <v>11</v>
      </c>
      <c r="D23" s="2">
        <v>1996</v>
      </c>
      <c r="E23" s="2" t="s">
        <v>12</v>
      </c>
      <c r="F23" s="2" t="b">
        <v>0</v>
      </c>
      <c r="G23" s="2">
        <v>25000</v>
      </c>
      <c r="H23" s="3">
        <v>58000</v>
      </c>
      <c r="I23" s="2"/>
      <c r="L23" s="2" t="str">
        <v>Bravo</v>
      </c>
      <c r="M23" s="2" t="str">
        <f t="shared" si="0"/>
        <v>Fiat</v>
      </c>
      <c r="N23" s="2">
        <f t="shared" si="1"/>
        <v>6</v>
      </c>
      <c r="O23" s="2">
        <f t="shared" si="2"/>
        <v>541800</v>
      </c>
      <c r="P23" s="2">
        <f t="shared" si="3"/>
        <v>0</v>
      </c>
      <c r="Q23" s="2">
        <f t="shared" si="4"/>
        <v>0</v>
      </c>
      <c r="R23" s="2">
        <f t="shared" si="5"/>
        <v>1</v>
      </c>
      <c r="S23" s="2">
        <f t="shared" si="6"/>
        <v>3</v>
      </c>
      <c r="T23" s="2">
        <f t="shared" si="7"/>
        <v>0</v>
      </c>
      <c r="U23" s="2">
        <f t="shared" si="8"/>
        <v>2</v>
      </c>
    </row>
    <row r="24" spans="1:21" x14ac:dyDescent="0.25">
      <c r="A24" s="2">
        <v>23</v>
      </c>
      <c r="B24" s="2" t="s">
        <v>30</v>
      </c>
      <c r="C24" s="2" t="s">
        <v>11</v>
      </c>
      <c r="D24" s="2">
        <v>1997</v>
      </c>
      <c r="E24" s="2" t="s">
        <v>12</v>
      </c>
      <c r="F24" s="2" t="b">
        <v>1</v>
      </c>
      <c r="G24" s="2">
        <v>36562</v>
      </c>
      <c r="H24" s="3">
        <v>43000</v>
      </c>
      <c r="I24" s="2" t="s">
        <v>9</v>
      </c>
      <c r="L24" s="2" t="str">
        <v>Mazda323</v>
      </c>
      <c r="M24" s="2" t="str">
        <f t="shared" si="0"/>
        <v>Mazda</v>
      </c>
      <c r="N24" s="2">
        <f t="shared" si="1"/>
        <v>4</v>
      </c>
      <c r="O24" s="2">
        <f t="shared" si="2"/>
        <v>189000</v>
      </c>
      <c r="P24" s="2">
        <f t="shared" si="3"/>
        <v>0</v>
      </c>
      <c r="Q24" s="2">
        <f t="shared" si="4"/>
        <v>3</v>
      </c>
      <c r="R24" s="2">
        <f t="shared" si="5"/>
        <v>0</v>
      </c>
      <c r="S24" s="2">
        <f t="shared" si="6"/>
        <v>0</v>
      </c>
      <c r="T24" s="2">
        <f t="shared" si="7"/>
        <v>1</v>
      </c>
      <c r="U24" s="2">
        <f t="shared" si="8"/>
        <v>0</v>
      </c>
    </row>
    <row r="25" spans="1:21" x14ac:dyDescent="0.25">
      <c r="A25" s="2">
        <v>24</v>
      </c>
      <c r="B25" s="2" t="s">
        <v>27</v>
      </c>
      <c r="C25" s="2" t="s">
        <v>28</v>
      </c>
      <c r="D25" s="2">
        <v>1998</v>
      </c>
      <c r="E25" s="2" t="s">
        <v>12</v>
      </c>
      <c r="F25" s="2" t="b">
        <v>0</v>
      </c>
      <c r="G25" s="2">
        <v>15232</v>
      </c>
      <c r="H25" s="3">
        <v>85300</v>
      </c>
      <c r="I25" s="2"/>
      <c r="L25" s="2" t="str">
        <v>Escort</v>
      </c>
      <c r="M25" s="2" t="str">
        <f t="shared" si="0"/>
        <v>Ford</v>
      </c>
      <c r="N25" s="2">
        <f t="shared" si="1"/>
        <v>2</v>
      </c>
      <c r="O25" s="2">
        <f t="shared" si="2"/>
        <v>112000</v>
      </c>
      <c r="P25" s="2">
        <f t="shared" si="3"/>
        <v>0</v>
      </c>
      <c r="Q25" s="2">
        <f t="shared" si="4"/>
        <v>1</v>
      </c>
      <c r="R25" s="2">
        <f t="shared" si="5"/>
        <v>0</v>
      </c>
      <c r="S25" s="2">
        <f t="shared" si="6"/>
        <v>0</v>
      </c>
      <c r="T25" s="2">
        <f t="shared" si="7"/>
        <v>1</v>
      </c>
      <c r="U25" s="2">
        <f t="shared" si="8"/>
        <v>0</v>
      </c>
    </row>
    <row r="26" spans="1:21" x14ac:dyDescent="0.25">
      <c r="A26" s="2">
        <v>25</v>
      </c>
      <c r="B26" s="2" t="s">
        <v>31</v>
      </c>
      <c r="C26" s="2" t="s">
        <v>28</v>
      </c>
      <c r="D26" s="2">
        <v>1997</v>
      </c>
      <c r="E26" s="2" t="s">
        <v>12</v>
      </c>
      <c r="F26" s="2" t="b">
        <v>1</v>
      </c>
      <c r="G26" s="2">
        <v>15142</v>
      </c>
      <c r="H26" s="3">
        <v>75000</v>
      </c>
      <c r="I26" s="2" t="s">
        <v>20</v>
      </c>
      <c r="L26" s="2" t="str">
        <v>Fiesta</v>
      </c>
      <c r="M26" s="2" t="str">
        <f t="shared" si="0"/>
        <v>Ford</v>
      </c>
      <c r="N26" s="2">
        <f t="shared" si="1"/>
        <v>2</v>
      </c>
      <c r="O26" s="2">
        <f t="shared" si="2"/>
        <v>106000</v>
      </c>
      <c r="P26" s="2">
        <f t="shared" si="3"/>
        <v>0</v>
      </c>
      <c r="Q26" s="2">
        <f t="shared" si="4"/>
        <v>1</v>
      </c>
      <c r="R26" s="2">
        <f t="shared" si="5"/>
        <v>0</v>
      </c>
      <c r="S26" s="2">
        <f t="shared" si="6"/>
        <v>0</v>
      </c>
      <c r="T26" s="2">
        <f t="shared" si="7"/>
        <v>0</v>
      </c>
      <c r="U26" s="2">
        <f t="shared" si="8"/>
        <v>1</v>
      </c>
    </row>
    <row r="27" spans="1:21" x14ac:dyDescent="0.25">
      <c r="A27" s="2">
        <v>26</v>
      </c>
      <c r="B27" s="2" t="s">
        <v>10</v>
      </c>
      <c r="C27" s="2" t="s">
        <v>11</v>
      </c>
      <c r="D27" s="2">
        <v>1998</v>
      </c>
      <c r="E27" s="2" t="s">
        <v>12</v>
      </c>
      <c r="F27" s="2" t="b">
        <v>0</v>
      </c>
      <c r="G27" s="2">
        <v>254453</v>
      </c>
      <c r="H27" s="3">
        <v>52000</v>
      </c>
      <c r="I27" s="2" t="s">
        <v>20</v>
      </c>
      <c r="L27" s="2" t="str">
        <v>Mazda626</v>
      </c>
      <c r="M27" s="2" t="str">
        <f t="shared" si="0"/>
        <v>Mazda</v>
      </c>
      <c r="N27" s="2">
        <f t="shared" si="1"/>
        <v>3</v>
      </c>
      <c r="O27" s="2">
        <f t="shared" si="2"/>
        <v>252000</v>
      </c>
      <c r="P27" s="2">
        <f t="shared" si="3"/>
        <v>2</v>
      </c>
      <c r="Q27" s="2">
        <f t="shared" si="4"/>
        <v>1</v>
      </c>
      <c r="R27" s="2">
        <f t="shared" si="5"/>
        <v>0</v>
      </c>
      <c r="S27" s="2">
        <f t="shared" si="6"/>
        <v>0</v>
      </c>
      <c r="T27" s="2">
        <f t="shared" si="7"/>
        <v>0</v>
      </c>
      <c r="U27" s="2">
        <f t="shared" si="8"/>
        <v>0</v>
      </c>
    </row>
    <row r="28" spans="1:21" x14ac:dyDescent="0.25">
      <c r="A28" s="2">
        <v>27</v>
      </c>
      <c r="B28" s="2" t="s">
        <v>21</v>
      </c>
      <c r="C28" s="2" t="s">
        <v>7</v>
      </c>
      <c r="D28" s="2">
        <v>1996</v>
      </c>
      <c r="E28" s="2" t="s">
        <v>12</v>
      </c>
      <c r="F28" s="2" t="b">
        <v>1</v>
      </c>
      <c r="G28" s="2">
        <v>25613</v>
      </c>
      <c r="H28" s="3">
        <v>57000</v>
      </c>
      <c r="I28" s="2"/>
      <c r="L28" s="2" t="str">
        <v>Marea</v>
      </c>
      <c r="M28" s="2" t="str">
        <f t="shared" si="0"/>
        <v>Fiat</v>
      </c>
      <c r="N28" s="2">
        <f t="shared" si="1"/>
        <v>3</v>
      </c>
      <c r="O28" s="2">
        <f t="shared" si="2"/>
        <v>137000</v>
      </c>
      <c r="P28" s="2">
        <f t="shared" si="3"/>
        <v>2</v>
      </c>
      <c r="Q28" s="2">
        <f t="shared" si="4"/>
        <v>0</v>
      </c>
      <c r="R28" s="2">
        <f t="shared" si="5"/>
        <v>1</v>
      </c>
      <c r="S28" s="2">
        <f t="shared" si="6"/>
        <v>0</v>
      </c>
      <c r="T28" s="2">
        <f t="shared" si="7"/>
        <v>0</v>
      </c>
      <c r="U28" s="2">
        <f t="shared" si="8"/>
        <v>0</v>
      </c>
    </row>
    <row r="29" spans="1:21" x14ac:dyDescent="0.25">
      <c r="A29" s="2">
        <v>28</v>
      </c>
      <c r="B29" s="2" t="s">
        <v>13</v>
      </c>
      <c r="C29" s="2" t="s">
        <v>14</v>
      </c>
      <c r="D29" s="2">
        <v>1999</v>
      </c>
      <c r="E29" s="2" t="s">
        <v>12</v>
      </c>
      <c r="F29" s="2" t="b">
        <v>1</v>
      </c>
      <c r="G29" s="2">
        <v>34562</v>
      </c>
      <c r="H29" s="3">
        <v>63000</v>
      </c>
      <c r="I29" s="2"/>
      <c r="L29" s="8" t="s">
        <v>45</v>
      </c>
      <c r="M29" s="8"/>
      <c r="N29" s="8">
        <f>SUM(N14:N28)</f>
        <v>60</v>
      </c>
      <c r="O29" s="8">
        <f>SUM(O14:O28)</f>
        <v>5653900</v>
      </c>
      <c r="P29" s="8">
        <f t="shared" ref="P29:U29" si="9">SUM(P14:P28)</f>
        <v>26</v>
      </c>
      <c r="Q29" s="8">
        <f t="shared" si="9"/>
        <v>12</v>
      </c>
      <c r="R29" s="8">
        <f t="shared" si="9"/>
        <v>7</v>
      </c>
      <c r="S29" s="8">
        <f t="shared" si="9"/>
        <v>7</v>
      </c>
      <c r="T29" s="8">
        <f t="shared" si="9"/>
        <v>3</v>
      </c>
      <c r="U29" s="8">
        <f t="shared" si="9"/>
        <v>5</v>
      </c>
    </row>
    <row r="30" spans="1:21" x14ac:dyDescent="0.25">
      <c r="A30" s="2">
        <v>29</v>
      </c>
      <c r="B30" s="2" t="s">
        <v>29</v>
      </c>
      <c r="C30" s="2" t="s">
        <v>11</v>
      </c>
      <c r="D30" s="2">
        <v>1995</v>
      </c>
      <c r="E30" s="2" t="s">
        <v>32</v>
      </c>
      <c r="F30" s="2" t="b">
        <v>0</v>
      </c>
      <c r="G30" s="2">
        <v>48536</v>
      </c>
      <c r="H30" s="3">
        <v>54000</v>
      </c>
      <c r="I30" s="2" t="s">
        <v>9</v>
      </c>
    </row>
    <row r="31" spans="1:21" x14ac:dyDescent="0.25">
      <c r="A31" s="2">
        <v>30</v>
      </c>
      <c r="B31" s="2" t="s">
        <v>24</v>
      </c>
      <c r="C31" s="2" t="s">
        <v>7</v>
      </c>
      <c r="D31" s="2">
        <v>1997</v>
      </c>
      <c r="E31" s="2" t="s">
        <v>32</v>
      </c>
      <c r="F31" s="2" t="b">
        <v>0</v>
      </c>
      <c r="G31" s="2">
        <v>59612</v>
      </c>
      <c r="H31" s="3">
        <v>36000</v>
      </c>
      <c r="I31" s="2" t="s">
        <v>20</v>
      </c>
    </row>
    <row r="32" spans="1:21" x14ac:dyDescent="0.25">
      <c r="A32" s="2">
        <v>31</v>
      </c>
      <c r="B32" s="2" t="s">
        <v>27</v>
      </c>
      <c r="C32" s="2" t="s">
        <v>28</v>
      </c>
      <c r="D32" s="2">
        <v>1995</v>
      </c>
      <c r="E32" s="2" t="s">
        <v>32</v>
      </c>
      <c r="F32" s="2" t="b">
        <v>1</v>
      </c>
      <c r="G32" s="2">
        <v>256214</v>
      </c>
      <c r="H32" s="3">
        <v>13000</v>
      </c>
      <c r="I32" s="2" t="s">
        <v>25</v>
      </c>
    </row>
    <row r="33" spans="1:9" x14ac:dyDescent="0.25">
      <c r="A33" s="2">
        <v>32</v>
      </c>
      <c r="B33" s="2" t="s">
        <v>26</v>
      </c>
      <c r="C33" s="2" t="s">
        <v>19</v>
      </c>
      <c r="D33" s="2">
        <v>1996</v>
      </c>
      <c r="E33" s="2" t="s">
        <v>33</v>
      </c>
      <c r="F33" s="2" t="b">
        <v>0</v>
      </c>
      <c r="G33" s="2">
        <v>269822</v>
      </c>
      <c r="H33" s="3">
        <v>32000</v>
      </c>
      <c r="I33" s="2" t="s">
        <v>25</v>
      </c>
    </row>
    <row r="34" spans="1:9" x14ac:dyDescent="0.25">
      <c r="A34" s="2">
        <v>33</v>
      </c>
      <c r="B34" s="2" t="s">
        <v>26</v>
      </c>
      <c r="C34" s="2" t="s">
        <v>19</v>
      </c>
      <c r="D34" s="2">
        <v>1998</v>
      </c>
      <c r="E34" s="2" t="s">
        <v>33</v>
      </c>
      <c r="F34" s="2" t="b">
        <v>1</v>
      </c>
      <c r="G34" s="2">
        <v>588546</v>
      </c>
      <c r="H34" s="3">
        <v>32000</v>
      </c>
      <c r="I34" s="2" t="s">
        <v>25</v>
      </c>
    </row>
    <row r="35" spans="1:9" x14ac:dyDescent="0.25">
      <c r="A35" s="2">
        <v>34</v>
      </c>
      <c r="B35" s="2" t="s">
        <v>15</v>
      </c>
      <c r="C35" s="2" t="s">
        <v>14</v>
      </c>
      <c r="D35" s="2">
        <v>1999</v>
      </c>
      <c r="E35" s="2" t="s">
        <v>33</v>
      </c>
      <c r="F35" s="2" t="b">
        <v>1</v>
      </c>
      <c r="G35" s="2">
        <v>658963</v>
      </c>
      <c r="H35" s="3">
        <v>38000</v>
      </c>
      <c r="I35" s="2"/>
    </row>
    <row r="36" spans="1:9" x14ac:dyDescent="0.25">
      <c r="A36" s="2">
        <v>35</v>
      </c>
      <c r="B36" s="2" t="s">
        <v>23</v>
      </c>
      <c r="C36" s="2" t="s">
        <v>7</v>
      </c>
      <c r="D36" s="2">
        <v>1997</v>
      </c>
      <c r="E36" s="2" t="s">
        <v>33</v>
      </c>
      <c r="F36" s="2" t="b">
        <v>0</v>
      </c>
      <c r="G36" s="2">
        <v>21542</v>
      </c>
      <c r="H36" s="3">
        <v>41000</v>
      </c>
      <c r="I36" s="2"/>
    </row>
    <row r="37" spans="1:9" x14ac:dyDescent="0.25">
      <c r="A37" s="2">
        <v>36</v>
      </c>
      <c r="B37" s="2" t="s">
        <v>30</v>
      </c>
      <c r="C37" s="2" t="s">
        <v>11</v>
      </c>
      <c r="D37" s="2">
        <v>1997</v>
      </c>
      <c r="E37" s="2" t="s">
        <v>33</v>
      </c>
      <c r="F37" s="2" t="b">
        <v>0</v>
      </c>
      <c r="G37" s="2">
        <v>16544</v>
      </c>
      <c r="H37" s="3">
        <v>63000</v>
      </c>
      <c r="I37" s="2"/>
    </row>
    <row r="38" spans="1:9" x14ac:dyDescent="0.25">
      <c r="A38" s="2">
        <v>37</v>
      </c>
      <c r="B38" s="2" t="s">
        <v>26</v>
      </c>
      <c r="C38" s="2" t="s">
        <v>19</v>
      </c>
      <c r="D38" s="2">
        <v>1995</v>
      </c>
      <c r="E38" s="2" t="s">
        <v>17</v>
      </c>
      <c r="F38" s="2" t="b">
        <v>1</v>
      </c>
      <c r="G38" s="2">
        <v>205022</v>
      </c>
      <c r="H38" s="3">
        <v>25000</v>
      </c>
      <c r="I38" s="2" t="s">
        <v>9</v>
      </c>
    </row>
    <row r="39" spans="1:9" x14ac:dyDescent="0.25">
      <c r="A39" s="2">
        <v>38</v>
      </c>
      <c r="B39" s="2" t="s">
        <v>15</v>
      </c>
      <c r="C39" s="2" t="s">
        <v>14</v>
      </c>
      <c r="D39" s="2">
        <v>1994</v>
      </c>
      <c r="E39" s="2" t="s">
        <v>17</v>
      </c>
      <c r="F39" s="2" t="b">
        <v>0</v>
      </c>
      <c r="G39" s="2">
        <v>165140</v>
      </c>
      <c r="H39" s="3">
        <v>36000</v>
      </c>
      <c r="I39" s="2" t="s">
        <v>9</v>
      </c>
    </row>
    <row r="40" spans="1:9" x14ac:dyDescent="0.25">
      <c r="A40" s="2">
        <v>39</v>
      </c>
      <c r="B40" s="2" t="s">
        <v>6</v>
      </c>
      <c r="C40" s="2" t="s">
        <v>7</v>
      </c>
      <c r="D40" s="2">
        <v>2000</v>
      </c>
      <c r="E40" s="2" t="s">
        <v>17</v>
      </c>
      <c r="F40" s="2" t="b">
        <v>1</v>
      </c>
      <c r="G40" s="2">
        <v>202502</v>
      </c>
      <c r="H40" s="3">
        <v>204300</v>
      </c>
      <c r="I40" s="2"/>
    </row>
    <row r="41" spans="1:9" x14ac:dyDescent="0.25">
      <c r="A41" s="2">
        <v>40</v>
      </c>
      <c r="B41" s="2" t="s">
        <v>16</v>
      </c>
      <c r="C41" s="2" t="s">
        <v>7</v>
      </c>
      <c r="D41" s="2">
        <v>1999</v>
      </c>
      <c r="E41" s="2" t="s">
        <v>17</v>
      </c>
      <c r="F41" s="2" t="b">
        <v>0</v>
      </c>
      <c r="G41" s="2">
        <v>51225</v>
      </c>
      <c r="H41" s="3">
        <v>95000</v>
      </c>
      <c r="I41" s="2"/>
    </row>
    <row r="42" spans="1:9" x14ac:dyDescent="0.25">
      <c r="A42" s="2">
        <v>41</v>
      </c>
      <c r="B42" s="2" t="s">
        <v>34</v>
      </c>
      <c r="C42" s="2" t="s">
        <v>19</v>
      </c>
      <c r="D42" s="2">
        <v>1997</v>
      </c>
      <c r="E42" s="2" t="s">
        <v>17</v>
      </c>
      <c r="F42" s="2" t="b">
        <v>1</v>
      </c>
      <c r="G42" s="2">
        <v>13000</v>
      </c>
      <c r="H42" s="3">
        <v>75000</v>
      </c>
      <c r="I42" s="2" t="s">
        <v>20</v>
      </c>
    </row>
    <row r="43" spans="1:9" x14ac:dyDescent="0.25">
      <c r="A43" s="2">
        <v>42</v>
      </c>
      <c r="B43" s="2" t="s">
        <v>26</v>
      </c>
      <c r="C43" s="2" t="s">
        <v>19</v>
      </c>
      <c r="D43" s="2">
        <v>1998</v>
      </c>
      <c r="E43" s="2" t="s">
        <v>22</v>
      </c>
      <c r="F43" s="2" t="b">
        <v>1</v>
      </c>
      <c r="G43" s="2">
        <v>25620</v>
      </c>
      <c r="H43" s="3">
        <v>150600</v>
      </c>
      <c r="I43" s="2"/>
    </row>
    <row r="44" spans="1:9" x14ac:dyDescent="0.25">
      <c r="A44" s="2">
        <v>43</v>
      </c>
      <c r="B44" s="2" t="s">
        <v>16</v>
      </c>
      <c r="C44" s="2" t="s">
        <v>7</v>
      </c>
      <c r="D44" s="2">
        <v>1995</v>
      </c>
      <c r="E44" s="2" t="s">
        <v>22</v>
      </c>
      <c r="F44" s="2" t="b">
        <v>0</v>
      </c>
      <c r="G44" s="2">
        <v>46085</v>
      </c>
      <c r="H44" s="3">
        <v>60200</v>
      </c>
      <c r="I44" s="2"/>
    </row>
    <row r="45" spans="1:9" x14ac:dyDescent="0.25">
      <c r="A45" s="2">
        <v>44</v>
      </c>
      <c r="B45" s="2" t="s">
        <v>21</v>
      </c>
      <c r="C45" s="2" t="s">
        <v>7</v>
      </c>
      <c r="D45" s="2">
        <v>1999</v>
      </c>
      <c r="E45" s="2" t="s">
        <v>22</v>
      </c>
      <c r="F45" s="2" t="b">
        <v>0</v>
      </c>
      <c r="G45" s="2">
        <v>590324</v>
      </c>
      <c r="H45" s="3">
        <v>37000</v>
      </c>
      <c r="I45" s="2" t="s">
        <v>20</v>
      </c>
    </row>
    <row r="46" spans="1:9" x14ac:dyDescent="0.25">
      <c r="A46" s="2">
        <v>45</v>
      </c>
      <c r="B46" s="2" t="s">
        <v>18</v>
      </c>
      <c r="C46" s="2" t="s">
        <v>19</v>
      </c>
      <c r="D46" s="2">
        <v>1994</v>
      </c>
      <c r="E46" s="2" t="s">
        <v>22</v>
      </c>
      <c r="F46" s="2" t="b">
        <v>1</v>
      </c>
      <c r="G46" s="2">
        <v>140500</v>
      </c>
      <c r="H46" s="3">
        <v>35000</v>
      </c>
      <c r="I46" s="2" t="s">
        <v>25</v>
      </c>
    </row>
    <row r="47" spans="1:9" x14ac:dyDescent="0.25">
      <c r="A47" s="2">
        <v>46</v>
      </c>
      <c r="B47" s="2" t="s">
        <v>24</v>
      </c>
      <c r="C47" s="2" t="s">
        <v>7</v>
      </c>
      <c r="D47" s="2">
        <v>2000</v>
      </c>
      <c r="E47" s="2" t="s">
        <v>8</v>
      </c>
      <c r="F47" s="2" t="b">
        <v>0</v>
      </c>
      <c r="G47" s="2">
        <v>602520</v>
      </c>
      <c r="H47" s="3">
        <v>280000</v>
      </c>
      <c r="I47" s="2" t="s">
        <v>25</v>
      </c>
    </row>
    <row r="48" spans="1:9" x14ac:dyDescent="0.25">
      <c r="A48" s="2">
        <v>47</v>
      </c>
      <c r="B48" s="2" t="s">
        <v>6</v>
      </c>
      <c r="C48" s="2" t="s">
        <v>7</v>
      </c>
      <c r="D48" s="2">
        <v>1998</v>
      </c>
      <c r="E48" s="2" t="s">
        <v>8</v>
      </c>
      <c r="F48" s="2" t="b">
        <v>1</v>
      </c>
      <c r="G48" s="2">
        <v>502020</v>
      </c>
      <c r="H48" s="3">
        <v>63000</v>
      </c>
      <c r="I48" s="2" t="s">
        <v>25</v>
      </c>
    </row>
    <row r="49" spans="1:11" x14ac:dyDescent="0.25">
      <c r="A49" s="2">
        <v>48</v>
      </c>
      <c r="B49" s="2" t="s">
        <v>23</v>
      </c>
      <c r="C49" s="2" t="s">
        <v>7</v>
      </c>
      <c r="D49" s="2">
        <v>1999</v>
      </c>
      <c r="E49" s="2" t="s">
        <v>8</v>
      </c>
      <c r="F49" s="2" t="b">
        <v>0</v>
      </c>
      <c r="G49" s="2">
        <v>14326</v>
      </c>
      <c r="H49" s="3">
        <v>156000</v>
      </c>
      <c r="I49" s="2"/>
      <c r="K49" t="s">
        <v>1128</v>
      </c>
    </row>
    <row r="50" spans="1:11" x14ac:dyDescent="0.25">
      <c r="A50" s="2">
        <v>49</v>
      </c>
      <c r="B50" s="2" t="s">
        <v>34</v>
      </c>
      <c r="C50" s="2" t="s">
        <v>19</v>
      </c>
      <c r="D50" s="2">
        <v>1997</v>
      </c>
      <c r="E50" s="2" t="s">
        <v>8</v>
      </c>
      <c r="F50" s="2" t="b">
        <v>0</v>
      </c>
      <c r="G50" s="2">
        <v>320256</v>
      </c>
      <c r="H50" s="3">
        <v>18000</v>
      </c>
      <c r="I50" s="2"/>
    </row>
    <row r="51" spans="1:11" x14ac:dyDescent="0.25">
      <c r="A51" s="2">
        <v>50</v>
      </c>
      <c r="B51" s="2" t="s">
        <v>31</v>
      </c>
      <c r="C51" s="2" t="s">
        <v>28</v>
      </c>
      <c r="D51" s="2">
        <v>1997</v>
      </c>
      <c r="E51" s="2" t="s">
        <v>8</v>
      </c>
      <c r="F51" s="2" t="b">
        <v>1</v>
      </c>
      <c r="G51" s="2">
        <v>16025</v>
      </c>
      <c r="H51" s="3">
        <v>75000</v>
      </c>
      <c r="I51" s="2"/>
      <c r="K51" t="s">
        <v>46</v>
      </c>
    </row>
    <row r="52" spans="1:11" x14ac:dyDescent="0.25">
      <c r="A52" s="2">
        <v>51</v>
      </c>
      <c r="B52" s="2" t="s">
        <v>10</v>
      </c>
      <c r="C52" s="2" t="s">
        <v>11</v>
      </c>
      <c r="D52" s="2">
        <v>1998</v>
      </c>
      <c r="E52" s="2" t="s">
        <v>8</v>
      </c>
      <c r="F52" s="2" t="b">
        <v>1</v>
      </c>
      <c r="G52" s="2">
        <v>53205</v>
      </c>
      <c r="H52" s="3">
        <v>102500</v>
      </c>
      <c r="I52" s="2"/>
      <c r="K52" t="s">
        <v>47</v>
      </c>
    </row>
    <row r="53" spans="1:11" x14ac:dyDescent="0.25">
      <c r="A53" s="2">
        <v>52</v>
      </c>
      <c r="B53" s="2" t="s">
        <v>18</v>
      </c>
      <c r="C53" s="2" t="s">
        <v>19</v>
      </c>
      <c r="D53" s="2">
        <v>1999</v>
      </c>
      <c r="E53" s="2" t="s">
        <v>8</v>
      </c>
      <c r="F53" s="2" t="b">
        <v>0</v>
      </c>
      <c r="G53" s="2">
        <v>14605</v>
      </c>
      <c r="H53" s="3">
        <v>256000</v>
      </c>
      <c r="I53" s="2" t="s">
        <v>9</v>
      </c>
      <c r="K53" t="s">
        <v>48</v>
      </c>
    </row>
    <row r="54" spans="1:11" x14ac:dyDescent="0.25">
      <c r="A54" s="2">
        <v>53</v>
      </c>
      <c r="B54" s="2" t="s">
        <v>6</v>
      </c>
      <c r="C54" s="2" t="s">
        <v>7</v>
      </c>
      <c r="D54" s="2">
        <v>1998</v>
      </c>
      <c r="E54" s="2" t="s">
        <v>8</v>
      </c>
      <c r="F54" s="2" t="b">
        <v>1</v>
      </c>
      <c r="G54" s="2">
        <v>14500</v>
      </c>
      <c r="H54" s="3">
        <v>76300</v>
      </c>
      <c r="I54" s="2" t="s">
        <v>9</v>
      </c>
      <c r="K54" t="s">
        <v>52</v>
      </c>
    </row>
    <row r="55" spans="1:11" x14ac:dyDescent="0.25">
      <c r="A55" s="2">
        <v>54</v>
      </c>
      <c r="B55" s="2" t="s">
        <v>23</v>
      </c>
      <c r="C55" s="2" t="s">
        <v>7</v>
      </c>
      <c r="D55" s="2">
        <v>1999</v>
      </c>
      <c r="E55" s="2" t="s">
        <v>8</v>
      </c>
      <c r="F55" s="2" t="b">
        <v>0</v>
      </c>
      <c r="G55" s="2">
        <v>250000</v>
      </c>
      <c r="H55" s="3">
        <v>360000</v>
      </c>
      <c r="I55" s="2"/>
      <c r="K55" t="s">
        <v>49</v>
      </c>
    </row>
    <row r="56" spans="1:11" x14ac:dyDescent="0.25">
      <c r="A56" s="2">
        <v>55</v>
      </c>
      <c r="B56" s="2" t="s">
        <v>34</v>
      </c>
      <c r="C56" s="2" t="s">
        <v>19</v>
      </c>
      <c r="D56" s="2">
        <v>1997</v>
      </c>
      <c r="E56" s="2" t="s">
        <v>8</v>
      </c>
      <c r="F56" s="2" t="b">
        <v>0</v>
      </c>
      <c r="G56" s="2">
        <v>89000</v>
      </c>
      <c r="H56" s="3">
        <v>44000</v>
      </c>
      <c r="I56" s="2"/>
      <c r="K56" t="s">
        <v>53</v>
      </c>
    </row>
    <row r="57" spans="1:11" x14ac:dyDescent="0.25">
      <c r="A57" s="2">
        <v>56</v>
      </c>
      <c r="B57" s="2" t="s">
        <v>31</v>
      </c>
      <c r="C57" s="2" t="s">
        <v>28</v>
      </c>
      <c r="D57" s="2">
        <v>1997</v>
      </c>
      <c r="E57" s="2" t="s">
        <v>8</v>
      </c>
      <c r="F57" s="2" t="b">
        <v>1</v>
      </c>
      <c r="G57" s="2">
        <v>14800</v>
      </c>
      <c r="H57" s="3">
        <v>102000</v>
      </c>
      <c r="I57" s="2" t="s">
        <v>20</v>
      </c>
      <c r="K57" t="s">
        <v>50</v>
      </c>
    </row>
    <row r="58" spans="1:11" x14ac:dyDescent="0.25">
      <c r="A58" s="2">
        <v>57</v>
      </c>
      <c r="B58" s="2" t="s">
        <v>10</v>
      </c>
      <c r="C58" s="2" t="s">
        <v>11</v>
      </c>
      <c r="D58" s="2">
        <v>1998</v>
      </c>
      <c r="E58" s="2" t="s">
        <v>8</v>
      </c>
      <c r="F58" s="2" t="b">
        <v>1</v>
      </c>
      <c r="G58" s="2">
        <v>9000</v>
      </c>
      <c r="H58" s="3">
        <v>123000</v>
      </c>
      <c r="I58" s="2" t="s">
        <v>25</v>
      </c>
      <c r="K58" t="s">
        <v>51</v>
      </c>
    </row>
    <row r="59" spans="1:11" x14ac:dyDescent="0.25">
      <c r="A59" s="2">
        <v>58</v>
      </c>
      <c r="B59" s="2" t="s">
        <v>18</v>
      </c>
      <c r="C59" s="2" t="s">
        <v>19</v>
      </c>
      <c r="D59" s="2">
        <v>1999</v>
      </c>
      <c r="E59" s="2" t="s">
        <v>8</v>
      </c>
      <c r="F59" s="2" t="b">
        <v>0</v>
      </c>
      <c r="G59" s="2">
        <v>102450</v>
      </c>
      <c r="H59" s="3">
        <v>31000</v>
      </c>
      <c r="I59" s="2" t="s">
        <v>25</v>
      </c>
      <c r="K59" t="s">
        <v>1124</v>
      </c>
    </row>
    <row r="60" spans="1:11" x14ac:dyDescent="0.25">
      <c r="A60" s="2">
        <v>59</v>
      </c>
      <c r="B60" s="2" t="s">
        <v>26</v>
      </c>
      <c r="C60" s="2" t="s">
        <v>19</v>
      </c>
      <c r="D60" s="2">
        <v>1998</v>
      </c>
      <c r="E60" s="2" t="s">
        <v>22</v>
      </c>
      <c r="F60" s="2" t="b">
        <v>0</v>
      </c>
      <c r="G60" s="2">
        <v>115620</v>
      </c>
      <c r="H60" s="3">
        <v>150600</v>
      </c>
      <c r="I60" s="2"/>
      <c r="K60" t="s">
        <v>1123</v>
      </c>
    </row>
    <row r="61" spans="1:11" x14ac:dyDescent="0.25">
      <c r="A61" s="2">
        <v>60</v>
      </c>
      <c r="B61" s="2" t="s">
        <v>27</v>
      </c>
      <c r="C61" s="2" t="s">
        <v>28</v>
      </c>
      <c r="D61" s="2">
        <v>1998</v>
      </c>
      <c r="E61" s="2" t="s">
        <v>12</v>
      </c>
      <c r="F61" s="2" t="b">
        <v>0</v>
      </c>
      <c r="G61" s="2">
        <v>75232</v>
      </c>
      <c r="H61" s="3">
        <v>45300</v>
      </c>
      <c r="I61" s="2"/>
    </row>
    <row r="62" spans="1:11" x14ac:dyDescent="0.25">
      <c r="H62" s="1"/>
    </row>
  </sheetData>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F8B3-5155-4B6F-8BAC-BFD210A463E9}">
  <dimension ref="A1"/>
  <sheetViews>
    <sheetView workbookViewId="0">
      <selection activeCell="A3" sqref="A3"/>
    </sheetView>
  </sheetViews>
  <sheetFormatPr defaultRowHeight="12.6"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7405-8015-4B6E-8AE5-A0743618384D}">
  <dimension ref="A1:J532"/>
  <sheetViews>
    <sheetView tabSelected="1" workbookViewId="0">
      <selection activeCell="G2" sqref="G2"/>
    </sheetView>
  </sheetViews>
  <sheetFormatPr defaultRowHeight="12.6" x14ac:dyDescent="0.25"/>
  <cols>
    <col min="1" max="1" width="10.77734375" bestFit="1" customWidth="1"/>
    <col min="2" max="2" width="11.6640625" bestFit="1" customWidth="1"/>
    <col min="3" max="3" width="6.44140625" bestFit="1" customWidth="1"/>
    <col min="4" max="4" width="14.44140625" bestFit="1" customWidth="1"/>
    <col min="5" max="5" width="11.77734375" bestFit="1" customWidth="1"/>
    <col min="6" max="6" width="10.77734375" bestFit="1" customWidth="1"/>
    <col min="7" max="7" width="16.21875" bestFit="1" customWidth="1"/>
    <col min="8" max="8" width="13.109375" bestFit="1" customWidth="1"/>
    <col min="9" max="9" width="20.44140625" bestFit="1" customWidth="1"/>
    <col min="10" max="10" width="19.6640625" bestFit="1" customWidth="1"/>
  </cols>
  <sheetData>
    <row r="1" spans="1:10" ht="14.4" x14ac:dyDescent="0.3">
      <c r="A1" s="9" t="s">
        <v>54</v>
      </c>
      <c r="B1" s="9" t="s">
        <v>55</v>
      </c>
      <c r="C1" s="9" t="s">
        <v>56</v>
      </c>
      <c r="D1" s="9" t="s">
        <v>57</v>
      </c>
      <c r="E1" s="9" t="s">
        <v>58</v>
      </c>
      <c r="F1" s="9" t="s">
        <v>59</v>
      </c>
      <c r="G1" s="9" t="s">
        <v>1129</v>
      </c>
      <c r="H1" s="9" t="s">
        <v>60</v>
      </c>
      <c r="I1" s="9" t="s">
        <v>61</v>
      </c>
      <c r="J1" s="9" t="s">
        <v>1122</v>
      </c>
    </row>
    <row r="2" spans="1:10" ht="14.4" x14ac:dyDescent="0.3">
      <c r="A2" s="9" t="s">
        <v>62</v>
      </c>
      <c r="B2" s="9" t="s">
        <v>63</v>
      </c>
      <c r="C2" s="9" t="s">
        <v>64</v>
      </c>
      <c r="D2" s="10">
        <v>38881</v>
      </c>
      <c r="E2" s="9" t="s">
        <v>65</v>
      </c>
      <c r="F2" s="9" t="s">
        <v>66</v>
      </c>
      <c r="G2" s="9" t="str">
        <f>IF(Table1[[#This Row],[POHLAVI]]="M","Muž", "Žena")</f>
        <v>Muž</v>
      </c>
      <c r="H2" s="9">
        <v>1</v>
      </c>
      <c r="I2" s="9" t="s">
        <v>67</v>
      </c>
      <c r="J2" t="str">
        <f>_xlfn.TEXTJOIN(" ",1,$A2:$B2)</f>
        <v>Radim Dufek</v>
      </c>
    </row>
    <row r="3" spans="1:10" ht="14.4" x14ac:dyDescent="0.3">
      <c r="A3" s="9" t="s">
        <v>68</v>
      </c>
      <c r="B3" s="9" t="s">
        <v>69</v>
      </c>
      <c r="C3" s="9" t="s">
        <v>70</v>
      </c>
      <c r="D3" s="10">
        <v>38150</v>
      </c>
      <c r="E3" s="9" t="s">
        <v>71</v>
      </c>
      <c r="F3" s="9" t="s">
        <v>72</v>
      </c>
      <c r="G3" s="9" t="str">
        <f>IF(Table1[[#This Row],[POHLAVI]]="M","Muž", "Žena")</f>
        <v>Žena</v>
      </c>
      <c r="H3" s="9">
        <v>2</v>
      </c>
      <c r="I3" s="9" t="s">
        <v>67</v>
      </c>
      <c r="J3" t="str">
        <f t="shared" ref="J3:J66" si="0">_xlfn.TEXTJOIN(" ",1,$A3:$B3)</f>
        <v>Natálie Heralová</v>
      </c>
    </row>
    <row r="4" spans="1:10" ht="14.4" x14ac:dyDescent="0.3">
      <c r="A4" s="9" t="s">
        <v>73</v>
      </c>
      <c r="B4" s="9" t="s">
        <v>74</v>
      </c>
      <c r="C4" s="9" t="s">
        <v>75</v>
      </c>
      <c r="D4" s="10">
        <v>38049</v>
      </c>
      <c r="E4" s="9" t="s">
        <v>76</v>
      </c>
      <c r="F4" s="9" t="s">
        <v>72</v>
      </c>
      <c r="G4" s="9" t="str">
        <f>IF(Table1[[#This Row],[POHLAVI]]="M","Muž", "Žena")</f>
        <v>Žena</v>
      </c>
      <c r="H4" s="9">
        <v>3</v>
      </c>
      <c r="I4" s="9" t="s">
        <v>67</v>
      </c>
      <c r="J4" t="str">
        <f t="shared" si="0"/>
        <v>Melissa Hrušovská</v>
      </c>
    </row>
    <row r="5" spans="1:10" ht="14.4" x14ac:dyDescent="0.3">
      <c r="A5" s="9" t="s">
        <v>77</v>
      </c>
      <c r="B5" s="9" t="s">
        <v>78</v>
      </c>
      <c r="C5" s="9" t="s">
        <v>70</v>
      </c>
      <c r="D5" s="10">
        <v>36141</v>
      </c>
      <c r="E5" s="9" t="s">
        <v>79</v>
      </c>
      <c r="F5" s="9" t="s">
        <v>66</v>
      </c>
      <c r="G5" s="9" t="str">
        <f>IF(Table1[[#This Row],[POHLAVI]]="M","Muž", "Žena")</f>
        <v>Muž</v>
      </c>
      <c r="H5" s="9">
        <v>4</v>
      </c>
      <c r="I5" s="9" t="s">
        <v>80</v>
      </c>
      <c r="J5" t="str">
        <f t="shared" si="0"/>
        <v>Tomáš Jano</v>
      </c>
    </row>
    <row r="6" spans="1:10" ht="14.4" x14ac:dyDescent="0.3">
      <c r="A6" s="9" t="s">
        <v>81</v>
      </c>
      <c r="B6" s="9" t="s">
        <v>82</v>
      </c>
      <c r="C6" s="9" t="s">
        <v>70</v>
      </c>
      <c r="D6" s="10">
        <v>38141</v>
      </c>
      <c r="E6" s="9" t="s">
        <v>83</v>
      </c>
      <c r="F6" s="9" t="s">
        <v>66</v>
      </c>
      <c r="G6" s="9" t="str">
        <f>IF(Table1[[#This Row],[POHLAVI]]="M","Muž", "Žena")</f>
        <v>Muž</v>
      </c>
      <c r="H6" s="9">
        <v>5</v>
      </c>
      <c r="I6" s="9" t="s">
        <v>67</v>
      </c>
      <c r="J6" t="str">
        <f t="shared" si="0"/>
        <v>Karel Janů</v>
      </c>
    </row>
    <row r="7" spans="1:10" ht="14.4" x14ac:dyDescent="0.3">
      <c r="A7" s="9" t="s">
        <v>84</v>
      </c>
      <c r="B7" s="9" t="s">
        <v>82</v>
      </c>
      <c r="C7" s="9" t="s">
        <v>64</v>
      </c>
      <c r="D7" s="10">
        <v>38738</v>
      </c>
      <c r="E7" s="9" t="s">
        <v>85</v>
      </c>
      <c r="F7" s="9" t="s">
        <v>66</v>
      </c>
      <c r="G7" s="9" t="str">
        <f>IF(Table1[[#This Row],[POHLAVI]]="M","Muž", "Žena")</f>
        <v>Muž</v>
      </c>
      <c r="H7" s="9">
        <v>6</v>
      </c>
      <c r="I7" s="9" t="s">
        <v>67</v>
      </c>
      <c r="J7" t="str">
        <f t="shared" si="0"/>
        <v>Zdeněk Janů</v>
      </c>
    </row>
    <row r="8" spans="1:10" ht="14.4" x14ac:dyDescent="0.3">
      <c r="A8" s="9" t="s">
        <v>86</v>
      </c>
      <c r="B8" s="9" t="s">
        <v>87</v>
      </c>
      <c r="C8" s="9" t="s">
        <v>70</v>
      </c>
      <c r="D8" s="10">
        <v>38663</v>
      </c>
      <c r="E8" s="9" t="s">
        <v>88</v>
      </c>
      <c r="F8" s="9" t="s">
        <v>66</v>
      </c>
      <c r="G8" s="9" t="str">
        <f>IF(Table1[[#This Row],[POHLAVI]]="M","Muž", "Žena")</f>
        <v>Muž</v>
      </c>
      <c r="H8" s="9">
        <v>7</v>
      </c>
      <c r="I8" s="9" t="s">
        <v>67</v>
      </c>
      <c r="J8" t="str">
        <f t="shared" si="0"/>
        <v>Matěj Kabelka</v>
      </c>
    </row>
    <row r="9" spans="1:10" ht="14.4" x14ac:dyDescent="0.3">
      <c r="A9" s="9" t="s">
        <v>86</v>
      </c>
      <c r="B9" s="9" t="s">
        <v>89</v>
      </c>
      <c r="C9" s="9" t="s">
        <v>70</v>
      </c>
      <c r="D9" s="10">
        <v>38577</v>
      </c>
      <c r="E9" s="9" t="s">
        <v>90</v>
      </c>
      <c r="F9" s="9" t="s">
        <v>66</v>
      </c>
      <c r="G9" s="9" t="str">
        <f>IF(Table1[[#This Row],[POHLAVI]]="M","Muž", "Žena")</f>
        <v>Muž</v>
      </c>
      <c r="H9" s="9">
        <v>8</v>
      </c>
      <c r="I9" s="9" t="s">
        <v>91</v>
      </c>
      <c r="J9" t="str">
        <f t="shared" si="0"/>
        <v>Matěj Kalous</v>
      </c>
    </row>
    <row r="10" spans="1:10" ht="14.4" x14ac:dyDescent="0.3">
      <c r="A10" s="9" t="s">
        <v>68</v>
      </c>
      <c r="B10" s="9" t="s">
        <v>92</v>
      </c>
      <c r="C10" s="9" t="s">
        <v>70</v>
      </c>
      <c r="D10" s="10">
        <v>38541</v>
      </c>
      <c r="E10" s="9" t="s">
        <v>93</v>
      </c>
      <c r="F10" s="9" t="s">
        <v>72</v>
      </c>
      <c r="G10" s="9" t="str">
        <f>IF(Table1[[#This Row],[POHLAVI]]="M","Muž", "Žena")</f>
        <v>Žena</v>
      </c>
      <c r="H10" s="9">
        <v>9</v>
      </c>
      <c r="I10" s="9" t="s">
        <v>67</v>
      </c>
      <c r="J10" t="str">
        <f t="shared" si="0"/>
        <v>Natálie Krejčíková</v>
      </c>
    </row>
    <row r="11" spans="1:10" ht="14.4" x14ac:dyDescent="0.3">
      <c r="A11" s="9" t="s">
        <v>94</v>
      </c>
      <c r="B11" s="9" t="s">
        <v>95</v>
      </c>
      <c r="C11" s="9" t="s">
        <v>70</v>
      </c>
      <c r="D11" s="10">
        <v>38842</v>
      </c>
      <c r="E11" s="9" t="s">
        <v>96</v>
      </c>
      <c r="F11" s="9" t="s">
        <v>66</v>
      </c>
      <c r="G11" s="9" t="str">
        <f>IF(Table1[[#This Row],[POHLAVI]]="M","Muž", "Žena")</f>
        <v>Muž</v>
      </c>
      <c r="H11" s="9">
        <v>10</v>
      </c>
      <c r="I11" s="9" t="s">
        <v>67</v>
      </c>
      <c r="J11" t="str">
        <f t="shared" si="0"/>
        <v>Lukáš Lempera</v>
      </c>
    </row>
    <row r="12" spans="1:10" ht="14.4" x14ac:dyDescent="0.3">
      <c r="A12" s="9" t="s">
        <v>97</v>
      </c>
      <c r="B12" s="9" t="s">
        <v>98</v>
      </c>
      <c r="C12" s="9" t="s">
        <v>70</v>
      </c>
      <c r="D12" s="10">
        <v>38811</v>
      </c>
      <c r="E12" s="9" t="s">
        <v>99</v>
      </c>
      <c r="F12" s="9" t="s">
        <v>72</v>
      </c>
      <c r="G12" s="9" t="str">
        <f>IF(Table1[[#This Row],[POHLAVI]]="M","Muž", "Žena")</f>
        <v>Žena</v>
      </c>
      <c r="H12" s="9">
        <v>11</v>
      </c>
      <c r="I12" s="9" t="s">
        <v>67</v>
      </c>
      <c r="J12" t="str">
        <f t="shared" si="0"/>
        <v>Michaela Lišková</v>
      </c>
    </row>
    <row r="13" spans="1:10" ht="14.4" x14ac:dyDescent="0.3">
      <c r="A13" s="9" t="s">
        <v>100</v>
      </c>
      <c r="B13" s="9" t="s">
        <v>101</v>
      </c>
      <c r="C13" s="9" t="s">
        <v>70</v>
      </c>
      <c r="D13" s="10">
        <v>38297</v>
      </c>
      <c r="E13" s="9" t="s">
        <v>102</v>
      </c>
      <c r="F13" s="9" t="s">
        <v>72</v>
      </c>
      <c r="G13" s="9" t="str">
        <f>IF(Table1[[#This Row],[POHLAVI]]="M","Muž", "Žena")</f>
        <v>Žena</v>
      </c>
      <c r="H13" s="9">
        <v>12</v>
      </c>
      <c r="I13" s="9" t="s">
        <v>67</v>
      </c>
      <c r="J13" t="str">
        <f t="shared" si="0"/>
        <v>Barbora Macková</v>
      </c>
    </row>
    <row r="14" spans="1:10" ht="14.4" x14ac:dyDescent="0.3">
      <c r="A14" s="9" t="s">
        <v>103</v>
      </c>
      <c r="B14" s="9" t="s">
        <v>104</v>
      </c>
      <c r="C14" s="9" t="s">
        <v>70</v>
      </c>
      <c r="D14" s="10">
        <v>38649</v>
      </c>
      <c r="E14" s="9" t="s">
        <v>105</v>
      </c>
      <c r="F14" s="9" t="s">
        <v>66</v>
      </c>
      <c r="G14" s="9" t="str">
        <f>IF(Table1[[#This Row],[POHLAVI]]="M","Muž", "Žena")</f>
        <v>Muž</v>
      </c>
      <c r="H14" s="9">
        <v>13</v>
      </c>
      <c r="I14" s="9" t="s">
        <v>67</v>
      </c>
      <c r="J14" t="str">
        <f t="shared" si="0"/>
        <v>Jakub Okurka</v>
      </c>
    </row>
    <row r="15" spans="1:10" ht="14.4" x14ac:dyDescent="0.3">
      <c r="A15" s="9" t="s">
        <v>106</v>
      </c>
      <c r="B15" s="9" t="s">
        <v>107</v>
      </c>
      <c r="C15" s="9" t="s">
        <v>70</v>
      </c>
      <c r="D15" s="10">
        <v>38915</v>
      </c>
      <c r="E15" s="9" t="s">
        <v>108</v>
      </c>
      <c r="F15" s="9" t="s">
        <v>66</v>
      </c>
      <c r="G15" s="9" t="str">
        <f>IF(Table1[[#This Row],[POHLAVI]]="M","Muž", "Žena")</f>
        <v>Muž</v>
      </c>
      <c r="H15" s="9">
        <v>14</v>
      </c>
      <c r="I15" s="9" t="s">
        <v>67</v>
      </c>
      <c r="J15" t="str">
        <f t="shared" si="0"/>
        <v>Vojtěch Pejchal</v>
      </c>
    </row>
    <row r="16" spans="1:10" ht="14.4" x14ac:dyDescent="0.3">
      <c r="A16" s="9" t="s">
        <v>106</v>
      </c>
      <c r="B16" s="9" t="s">
        <v>109</v>
      </c>
      <c r="C16" s="9" t="s">
        <v>70</v>
      </c>
      <c r="D16" s="10">
        <v>38901</v>
      </c>
      <c r="E16" s="9" t="s">
        <v>110</v>
      </c>
      <c r="F16" s="9" t="s">
        <v>66</v>
      </c>
      <c r="G16" s="9" t="str">
        <f>IF(Table1[[#This Row],[POHLAVI]]="M","Muž", "Žena")</f>
        <v>Muž</v>
      </c>
      <c r="H16" s="9">
        <v>15</v>
      </c>
      <c r="I16" s="9" t="s">
        <v>67</v>
      </c>
      <c r="J16" t="str">
        <f t="shared" si="0"/>
        <v>Vojtěch Rosecký</v>
      </c>
    </row>
    <row r="17" spans="1:10" ht="14.4" x14ac:dyDescent="0.3">
      <c r="A17" s="9" t="s">
        <v>111</v>
      </c>
      <c r="B17" s="9" t="s">
        <v>112</v>
      </c>
      <c r="C17" s="9" t="s">
        <v>70</v>
      </c>
      <c r="D17" s="10">
        <v>38760</v>
      </c>
      <c r="E17" s="9" t="s">
        <v>113</v>
      </c>
      <c r="F17" s="9" t="s">
        <v>66</v>
      </c>
      <c r="G17" s="9" t="str">
        <f>IF(Table1[[#This Row],[POHLAVI]]="M","Muž", "Žena")</f>
        <v>Muž</v>
      </c>
      <c r="H17" s="9">
        <v>16</v>
      </c>
      <c r="I17" s="9" t="s">
        <v>67</v>
      </c>
      <c r="J17" t="str">
        <f t="shared" si="0"/>
        <v>Adam Sivák</v>
      </c>
    </row>
    <row r="18" spans="1:10" ht="14.4" x14ac:dyDescent="0.3">
      <c r="A18" s="9" t="s">
        <v>114</v>
      </c>
      <c r="B18" s="9" t="s">
        <v>115</v>
      </c>
      <c r="C18" s="9" t="s">
        <v>70</v>
      </c>
      <c r="D18" s="10">
        <v>38579</v>
      </c>
      <c r="E18" s="9" t="s">
        <v>116</v>
      </c>
      <c r="F18" s="9" t="s">
        <v>66</v>
      </c>
      <c r="G18" s="9" t="str">
        <f>IF(Table1[[#This Row],[POHLAVI]]="M","Muž", "Žena")</f>
        <v>Muž</v>
      </c>
      <c r="H18" s="9">
        <v>17</v>
      </c>
      <c r="I18" s="9" t="s">
        <v>117</v>
      </c>
      <c r="J18" t="str">
        <f t="shared" si="0"/>
        <v>David Sklenář</v>
      </c>
    </row>
    <row r="19" spans="1:10" ht="14.4" x14ac:dyDescent="0.3">
      <c r="A19" s="9" t="s">
        <v>118</v>
      </c>
      <c r="B19" s="9" t="s">
        <v>119</v>
      </c>
      <c r="C19" s="9" t="s">
        <v>70</v>
      </c>
      <c r="D19" s="10">
        <v>38646</v>
      </c>
      <c r="E19" s="9" t="s">
        <v>120</v>
      </c>
      <c r="F19" s="9" t="s">
        <v>72</v>
      </c>
      <c r="G19" s="9" t="str">
        <f>IF(Table1[[#This Row],[POHLAVI]]="M","Muž", "Žena")</f>
        <v>Žena</v>
      </c>
      <c r="H19" s="9">
        <v>18</v>
      </c>
      <c r="I19" s="9" t="s">
        <v>67</v>
      </c>
      <c r="J19" t="str">
        <f t="shared" si="0"/>
        <v>Eliška Skuhrovcová</v>
      </c>
    </row>
    <row r="20" spans="1:10" ht="14.4" x14ac:dyDescent="0.3">
      <c r="A20" s="9" t="s">
        <v>121</v>
      </c>
      <c r="B20" s="9" t="s">
        <v>122</v>
      </c>
      <c r="C20" s="9" t="s">
        <v>70</v>
      </c>
      <c r="D20" s="10">
        <v>38698</v>
      </c>
      <c r="E20" s="9" t="s">
        <v>123</v>
      </c>
      <c r="F20" s="9" t="s">
        <v>72</v>
      </c>
      <c r="G20" s="9" t="str">
        <f>IF(Table1[[#This Row],[POHLAVI]]="M","Muž", "Žena")</f>
        <v>Žena</v>
      </c>
      <c r="H20" s="9">
        <v>19</v>
      </c>
      <c r="I20" s="9" t="s">
        <v>67</v>
      </c>
      <c r="J20" t="str">
        <f t="shared" si="0"/>
        <v>Amálie Slonková</v>
      </c>
    </row>
    <row r="21" spans="1:10" ht="14.4" x14ac:dyDescent="0.3">
      <c r="A21" s="9" t="s">
        <v>124</v>
      </c>
      <c r="B21" s="9" t="s">
        <v>125</v>
      </c>
      <c r="C21" s="9" t="s">
        <v>70</v>
      </c>
      <c r="D21" s="10">
        <v>38715</v>
      </c>
      <c r="E21" s="9" t="s">
        <v>126</v>
      </c>
      <c r="F21" s="9" t="s">
        <v>66</v>
      </c>
      <c r="G21" s="9" t="str">
        <f>IF(Table1[[#This Row],[POHLAVI]]="M","Muž", "Žena")</f>
        <v>Muž</v>
      </c>
      <c r="H21" s="9">
        <v>20</v>
      </c>
      <c r="I21" s="9" t="s">
        <v>67</v>
      </c>
      <c r="J21" t="str">
        <f t="shared" si="0"/>
        <v>Michael Šebek</v>
      </c>
    </row>
    <row r="22" spans="1:10" ht="14.4" x14ac:dyDescent="0.3">
      <c r="A22" s="9" t="s">
        <v>127</v>
      </c>
      <c r="B22" s="9" t="s">
        <v>128</v>
      </c>
      <c r="C22" s="9" t="s">
        <v>70</v>
      </c>
      <c r="D22" s="10">
        <v>38512</v>
      </c>
      <c r="E22" s="9" t="s">
        <v>129</v>
      </c>
      <c r="F22" s="9" t="s">
        <v>66</v>
      </c>
      <c r="G22" s="9" t="str">
        <f>IF(Table1[[#This Row],[POHLAVI]]="M","Muž", "Žena")</f>
        <v>Muž</v>
      </c>
      <c r="H22" s="9">
        <v>21</v>
      </c>
      <c r="I22" s="9" t="s">
        <v>67</v>
      </c>
      <c r="J22" t="str">
        <f t="shared" si="0"/>
        <v>Martin Švanda</v>
      </c>
    </row>
    <row r="23" spans="1:10" ht="14.4" x14ac:dyDescent="0.3">
      <c r="A23" s="9" t="s">
        <v>130</v>
      </c>
      <c r="B23" s="9" t="s">
        <v>131</v>
      </c>
      <c r="C23" s="9" t="s">
        <v>70</v>
      </c>
      <c r="D23" s="10">
        <v>38377</v>
      </c>
      <c r="E23" s="9" t="s">
        <v>132</v>
      </c>
      <c r="F23" s="9" t="s">
        <v>72</v>
      </c>
      <c r="G23" s="9" t="str">
        <f>IF(Table1[[#This Row],[POHLAVI]]="M","Muž", "Žena")</f>
        <v>Žena</v>
      </c>
      <c r="H23" s="9">
        <v>22</v>
      </c>
      <c r="I23" s="9" t="s">
        <v>67</v>
      </c>
      <c r="J23" t="str">
        <f t="shared" si="0"/>
        <v>Zoe Švomová</v>
      </c>
    </row>
    <row r="24" spans="1:10" ht="14.4" x14ac:dyDescent="0.3">
      <c r="A24" s="9" t="s">
        <v>133</v>
      </c>
      <c r="B24" s="9" t="s">
        <v>134</v>
      </c>
      <c r="C24" s="9" t="s">
        <v>70</v>
      </c>
      <c r="D24" s="10">
        <v>38883</v>
      </c>
      <c r="E24" s="9" t="s">
        <v>135</v>
      </c>
      <c r="F24" s="9" t="s">
        <v>72</v>
      </c>
      <c r="G24" s="9" t="str">
        <f>IF(Table1[[#This Row],[POHLAVI]]="M","Muž", "Žena")</f>
        <v>Žena</v>
      </c>
      <c r="H24" s="9">
        <v>23</v>
      </c>
      <c r="I24" s="9" t="s">
        <v>67</v>
      </c>
      <c r="J24" t="str">
        <f t="shared" si="0"/>
        <v>Tereza Tulisová</v>
      </c>
    </row>
    <row r="25" spans="1:10" ht="14.4" x14ac:dyDescent="0.3">
      <c r="A25" s="9" t="s">
        <v>136</v>
      </c>
      <c r="B25" s="9" t="s">
        <v>137</v>
      </c>
      <c r="C25" s="9" t="s">
        <v>70</v>
      </c>
      <c r="D25" s="10">
        <v>38959</v>
      </c>
      <c r="E25" s="9" t="s">
        <v>138</v>
      </c>
      <c r="F25" s="9" t="s">
        <v>66</v>
      </c>
      <c r="G25" s="9" t="str">
        <f>IF(Table1[[#This Row],[POHLAVI]]="M","Muž", "Žena")</f>
        <v>Muž</v>
      </c>
      <c r="H25" s="9">
        <v>24</v>
      </c>
      <c r="I25" s="9" t="s">
        <v>67</v>
      </c>
      <c r="J25" t="str">
        <f t="shared" si="0"/>
        <v>Jan Vambera</v>
      </c>
    </row>
    <row r="26" spans="1:10" ht="14.4" x14ac:dyDescent="0.3">
      <c r="A26" s="9" t="s">
        <v>139</v>
      </c>
      <c r="B26" s="9" t="s">
        <v>140</v>
      </c>
      <c r="C26" s="9" t="s">
        <v>70</v>
      </c>
      <c r="D26" s="10">
        <v>38846</v>
      </c>
      <c r="E26" s="9" t="s">
        <v>141</v>
      </c>
      <c r="F26" s="9" t="s">
        <v>66</v>
      </c>
      <c r="G26" s="9" t="str">
        <f>IF(Table1[[#This Row],[POHLAVI]]="M","Muž", "Žena")</f>
        <v>Muž</v>
      </c>
      <c r="H26" s="9">
        <v>25</v>
      </c>
      <c r="I26" s="9" t="s">
        <v>67</v>
      </c>
      <c r="J26" t="str">
        <f t="shared" si="0"/>
        <v>Josef Bittner</v>
      </c>
    </row>
    <row r="27" spans="1:10" ht="14.4" x14ac:dyDescent="0.3">
      <c r="A27" s="9" t="s">
        <v>142</v>
      </c>
      <c r="B27" s="9" t="s">
        <v>143</v>
      </c>
      <c r="C27" s="9" t="s">
        <v>70</v>
      </c>
      <c r="D27" s="10">
        <v>38741</v>
      </c>
      <c r="E27" s="9" t="s">
        <v>144</v>
      </c>
      <c r="F27" s="9" t="s">
        <v>66</v>
      </c>
      <c r="G27" s="9" t="str">
        <f>IF(Table1[[#This Row],[POHLAVI]]="M","Muž", "Žena")</f>
        <v>Muž</v>
      </c>
      <c r="H27" s="9">
        <v>26</v>
      </c>
      <c r="I27" s="9" t="s">
        <v>67</v>
      </c>
      <c r="J27" t="str">
        <f t="shared" si="0"/>
        <v>Ilja Brabec</v>
      </c>
    </row>
    <row r="28" spans="1:10" ht="14.4" x14ac:dyDescent="0.3">
      <c r="A28" s="9" t="s">
        <v>145</v>
      </c>
      <c r="B28" s="9" t="s">
        <v>146</v>
      </c>
      <c r="C28" s="9" t="s">
        <v>70</v>
      </c>
      <c r="D28" s="10">
        <v>38977</v>
      </c>
      <c r="E28" s="9" t="s">
        <v>147</v>
      </c>
      <c r="F28" s="9" t="s">
        <v>66</v>
      </c>
      <c r="G28" s="9" t="str">
        <f>IF(Table1[[#This Row],[POHLAVI]]="M","Muž", "Žena")</f>
        <v>Muž</v>
      </c>
      <c r="H28" s="9">
        <v>27</v>
      </c>
      <c r="I28" s="9" t="s">
        <v>67</v>
      </c>
      <c r="J28" t="str">
        <f t="shared" si="0"/>
        <v>Pavel Buchta</v>
      </c>
    </row>
    <row r="29" spans="1:10" ht="14.4" x14ac:dyDescent="0.3">
      <c r="A29" s="9" t="s">
        <v>148</v>
      </c>
      <c r="B29" s="9" t="s">
        <v>149</v>
      </c>
      <c r="C29" s="9" t="s">
        <v>70</v>
      </c>
      <c r="D29" s="10">
        <v>38862</v>
      </c>
      <c r="E29" s="9" t="s">
        <v>150</v>
      </c>
      <c r="F29" s="9" t="s">
        <v>66</v>
      </c>
      <c r="G29" s="9" t="str">
        <f>IF(Table1[[#This Row],[POHLAVI]]="M","Muž", "Žena")</f>
        <v>Muž</v>
      </c>
      <c r="H29" s="9">
        <v>28</v>
      </c>
      <c r="I29" s="9" t="s">
        <v>67</v>
      </c>
      <c r="J29" t="str">
        <f t="shared" si="0"/>
        <v>Daniel Čuhel</v>
      </c>
    </row>
    <row r="30" spans="1:10" ht="14.4" x14ac:dyDescent="0.3">
      <c r="A30" s="9" t="s">
        <v>151</v>
      </c>
      <c r="B30" s="9" t="s">
        <v>152</v>
      </c>
      <c r="C30" s="9" t="s">
        <v>70</v>
      </c>
      <c r="D30" s="10">
        <v>38601</v>
      </c>
      <c r="E30" s="9" t="s">
        <v>153</v>
      </c>
      <c r="F30" s="9" t="s">
        <v>66</v>
      </c>
      <c r="G30" s="9" t="str">
        <f>IF(Table1[[#This Row],[POHLAVI]]="M","Muž", "Žena")</f>
        <v>Muž</v>
      </c>
      <c r="H30" s="9">
        <v>29</v>
      </c>
      <c r="I30" s="9" t="s">
        <v>67</v>
      </c>
      <c r="J30" t="str">
        <f t="shared" si="0"/>
        <v>Petr Dvořák</v>
      </c>
    </row>
    <row r="31" spans="1:10" ht="14.4" x14ac:dyDescent="0.3">
      <c r="A31" s="9" t="s">
        <v>145</v>
      </c>
      <c r="B31" s="9" t="s">
        <v>154</v>
      </c>
      <c r="C31" s="9" t="s">
        <v>70</v>
      </c>
      <c r="D31" s="10">
        <v>38758</v>
      </c>
      <c r="E31" s="9" t="s">
        <v>155</v>
      </c>
      <c r="F31" s="9" t="s">
        <v>66</v>
      </c>
      <c r="G31" s="9" t="str">
        <f>IF(Table1[[#This Row],[POHLAVI]]="M","Muž", "Žena")</f>
        <v>Muž</v>
      </c>
      <c r="H31" s="9">
        <v>30</v>
      </c>
      <c r="I31" s="9" t="s">
        <v>80</v>
      </c>
      <c r="J31" t="str">
        <f t="shared" si="0"/>
        <v>Pavel Fajmon</v>
      </c>
    </row>
    <row r="32" spans="1:10" ht="14.4" x14ac:dyDescent="0.3">
      <c r="A32" s="9" t="s">
        <v>156</v>
      </c>
      <c r="B32" s="9" t="s">
        <v>157</v>
      </c>
      <c r="C32" s="9" t="s">
        <v>70</v>
      </c>
      <c r="D32" s="10">
        <v>38943</v>
      </c>
      <c r="E32" s="9" t="s">
        <v>158</v>
      </c>
      <c r="F32" s="9" t="s">
        <v>66</v>
      </c>
      <c r="G32" s="9" t="str">
        <f>IF(Table1[[#This Row],[POHLAVI]]="M","Muž", "Žena")</f>
        <v>Muž</v>
      </c>
      <c r="H32" s="9">
        <v>31</v>
      </c>
      <c r="I32" s="9" t="s">
        <v>67</v>
      </c>
      <c r="J32" t="str">
        <f t="shared" si="0"/>
        <v>Richard Hendrich</v>
      </c>
    </row>
    <row r="33" spans="1:10" ht="14.4" x14ac:dyDescent="0.3">
      <c r="A33" s="9" t="s">
        <v>159</v>
      </c>
      <c r="B33" s="9" t="s">
        <v>160</v>
      </c>
      <c r="C33" s="9" t="s">
        <v>70</v>
      </c>
      <c r="D33" s="10">
        <v>38583</v>
      </c>
      <c r="E33" s="9" t="s">
        <v>161</v>
      </c>
      <c r="F33" s="9" t="s">
        <v>66</v>
      </c>
      <c r="G33" s="9" t="str">
        <f>IF(Table1[[#This Row],[POHLAVI]]="M","Muž", "Žena")</f>
        <v>Muž</v>
      </c>
      <c r="H33" s="9">
        <v>32</v>
      </c>
      <c r="I33" s="9" t="s">
        <v>67</v>
      </c>
      <c r="J33" t="str">
        <f t="shared" si="0"/>
        <v>Václav Horňas</v>
      </c>
    </row>
    <row r="34" spans="1:10" ht="14.4" x14ac:dyDescent="0.3">
      <c r="A34" s="9" t="s">
        <v>100</v>
      </c>
      <c r="B34" s="9" t="s">
        <v>162</v>
      </c>
      <c r="C34" s="9" t="s">
        <v>70</v>
      </c>
      <c r="D34" s="10">
        <v>38518</v>
      </c>
      <c r="E34" s="9" t="s">
        <v>163</v>
      </c>
      <c r="F34" s="9" t="s">
        <v>72</v>
      </c>
      <c r="G34" s="9" t="str">
        <f>IF(Table1[[#This Row],[POHLAVI]]="M","Muž", "Žena")</f>
        <v>Žena</v>
      </c>
      <c r="H34" s="9">
        <v>33</v>
      </c>
      <c r="I34" s="9" t="s">
        <v>67</v>
      </c>
      <c r="J34" t="str">
        <f t="shared" si="0"/>
        <v>Barbora Kučerová</v>
      </c>
    </row>
    <row r="35" spans="1:10" ht="14.4" x14ac:dyDescent="0.3">
      <c r="A35" s="9" t="s">
        <v>127</v>
      </c>
      <c r="B35" s="9" t="s">
        <v>164</v>
      </c>
      <c r="C35" s="9" t="s">
        <v>70</v>
      </c>
      <c r="D35" s="10">
        <v>38828</v>
      </c>
      <c r="E35" s="9" t="s">
        <v>165</v>
      </c>
      <c r="F35" s="9" t="s">
        <v>66</v>
      </c>
      <c r="G35" s="9" t="str">
        <f>IF(Table1[[#This Row],[POHLAVI]]="M","Muž", "Žena")</f>
        <v>Muž</v>
      </c>
      <c r="H35" s="9">
        <v>34</v>
      </c>
      <c r="I35" s="9" t="s">
        <v>67</v>
      </c>
      <c r="J35" t="str">
        <f t="shared" si="0"/>
        <v>Martin Kummer</v>
      </c>
    </row>
    <row r="36" spans="1:10" ht="14.4" x14ac:dyDescent="0.3">
      <c r="A36" s="9" t="s">
        <v>166</v>
      </c>
      <c r="B36" s="9" t="s">
        <v>167</v>
      </c>
      <c r="C36" s="9" t="s">
        <v>70</v>
      </c>
      <c r="D36" s="10">
        <v>38837</v>
      </c>
      <c r="E36" s="9" t="s">
        <v>168</v>
      </c>
      <c r="F36" s="9" t="s">
        <v>72</v>
      </c>
      <c r="G36" s="9" t="str">
        <f>IF(Table1[[#This Row],[POHLAVI]]="M","Muž", "Žena")</f>
        <v>Žena</v>
      </c>
      <c r="H36" s="9">
        <v>35</v>
      </c>
      <c r="I36" s="9" t="s">
        <v>67</v>
      </c>
      <c r="J36" t="str">
        <f t="shared" si="0"/>
        <v>Magdaléna Machová</v>
      </c>
    </row>
    <row r="37" spans="1:10" ht="14.4" x14ac:dyDescent="0.3">
      <c r="A37" s="9" t="s">
        <v>169</v>
      </c>
      <c r="B37" s="9" t="s">
        <v>170</v>
      </c>
      <c r="C37" s="9" t="s">
        <v>70</v>
      </c>
      <c r="D37" s="10">
        <v>38624</v>
      </c>
      <c r="E37" s="9" t="s">
        <v>171</v>
      </c>
      <c r="F37" s="9" t="s">
        <v>72</v>
      </c>
      <c r="G37" s="9" t="str">
        <f>IF(Table1[[#This Row],[POHLAVI]]="M","Muž", "Žena")</f>
        <v>Žena</v>
      </c>
      <c r="H37" s="9">
        <v>36</v>
      </c>
      <c r="I37" s="9" t="s">
        <v>117</v>
      </c>
      <c r="J37" t="str">
        <f t="shared" si="0"/>
        <v>Monika Mrkosová</v>
      </c>
    </row>
    <row r="38" spans="1:10" ht="14.4" x14ac:dyDescent="0.3">
      <c r="A38" s="9" t="s">
        <v>172</v>
      </c>
      <c r="B38" s="9" t="s">
        <v>173</v>
      </c>
      <c r="C38" s="9" t="s">
        <v>70</v>
      </c>
      <c r="D38" s="10">
        <v>38771</v>
      </c>
      <c r="E38" s="9" t="s">
        <v>174</v>
      </c>
      <c r="F38" s="9" t="s">
        <v>66</v>
      </c>
      <c r="G38" s="9" t="str">
        <f>IF(Table1[[#This Row],[POHLAVI]]="M","Muž", "Žena")</f>
        <v>Muž</v>
      </c>
      <c r="H38" s="9">
        <v>37</v>
      </c>
      <c r="I38" s="9" t="s">
        <v>67</v>
      </c>
      <c r="J38" t="str">
        <f t="shared" si="0"/>
        <v>Matouš Němec</v>
      </c>
    </row>
    <row r="39" spans="1:10" ht="14.4" x14ac:dyDescent="0.3">
      <c r="A39" s="9" t="s">
        <v>175</v>
      </c>
      <c r="B39" s="9" t="s">
        <v>176</v>
      </c>
      <c r="C39" s="9" t="s">
        <v>70</v>
      </c>
      <c r="D39" s="10">
        <v>38771</v>
      </c>
      <c r="E39" s="9" t="s">
        <v>177</v>
      </c>
      <c r="F39" s="9" t="s">
        <v>66</v>
      </c>
      <c r="G39" s="9" t="str">
        <f>IF(Table1[[#This Row],[POHLAVI]]="M","Muž", "Žena")</f>
        <v>Muž</v>
      </c>
      <c r="H39" s="9">
        <v>38</v>
      </c>
      <c r="I39" s="9" t="s">
        <v>67</v>
      </c>
      <c r="J39" t="str">
        <f t="shared" si="0"/>
        <v>Aleš Popelka</v>
      </c>
    </row>
    <row r="40" spans="1:10" ht="14.4" x14ac:dyDescent="0.3">
      <c r="A40" s="9" t="s">
        <v>178</v>
      </c>
      <c r="B40" s="9" t="s">
        <v>179</v>
      </c>
      <c r="C40" s="9" t="s">
        <v>70</v>
      </c>
      <c r="D40" s="10">
        <v>38499</v>
      </c>
      <c r="E40" s="9" t="s">
        <v>180</v>
      </c>
      <c r="F40" s="9" t="s">
        <v>66</v>
      </c>
      <c r="G40" s="9" t="str">
        <f>IF(Table1[[#This Row],[POHLAVI]]="M","Muž", "Žena")</f>
        <v>Muž</v>
      </c>
      <c r="H40" s="9">
        <v>39</v>
      </c>
      <c r="I40" s="9" t="s">
        <v>67</v>
      </c>
      <c r="J40" t="str">
        <f t="shared" si="0"/>
        <v>Marek Rychtera</v>
      </c>
    </row>
    <row r="41" spans="1:10" ht="14.4" x14ac:dyDescent="0.3">
      <c r="A41" s="9" t="s">
        <v>77</v>
      </c>
      <c r="B41" s="9" t="s">
        <v>181</v>
      </c>
      <c r="C41" s="9" t="s">
        <v>70</v>
      </c>
      <c r="D41" s="10">
        <v>39032</v>
      </c>
      <c r="E41" s="9" t="s">
        <v>182</v>
      </c>
      <c r="F41" s="9" t="s">
        <v>66</v>
      </c>
      <c r="G41" s="9" t="str">
        <f>IF(Table1[[#This Row],[POHLAVI]]="M","Muž", "Žena")</f>
        <v>Muž</v>
      </c>
      <c r="H41" s="9">
        <v>40</v>
      </c>
      <c r="I41" s="9" t="s">
        <v>91</v>
      </c>
      <c r="J41" t="str">
        <f t="shared" si="0"/>
        <v>Tomáš Sláma</v>
      </c>
    </row>
    <row r="42" spans="1:10" ht="14.4" x14ac:dyDescent="0.3">
      <c r="A42" s="9" t="s">
        <v>183</v>
      </c>
      <c r="B42" s="9" t="s">
        <v>184</v>
      </c>
      <c r="C42" s="9" t="s">
        <v>70</v>
      </c>
      <c r="D42" s="10">
        <v>38877</v>
      </c>
      <c r="E42" s="9" t="s">
        <v>185</v>
      </c>
      <c r="F42" s="9" t="s">
        <v>72</v>
      </c>
      <c r="G42" s="9" t="str">
        <f>IF(Table1[[#This Row],[POHLAVI]]="M","Muž", "Žena")</f>
        <v>Žena</v>
      </c>
      <c r="H42" s="9">
        <v>41</v>
      </c>
      <c r="I42" s="9" t="s">
        <v>67</v>
      </c>
      <c r="J42" t="str">
        <f t="shared" si="0"/>
        <v>Anna Součková</v>
      </c>
    </row>
    <row r="43" spans="1:10" ht="14.4" x14ac:dyDescent="0.3">
      <c r="A43" s="9" t="s">
        <v>186</v>
      </c>
      <c r="B43" s="9" t="s">
        <v>187</v>
      </c>
      <c r="C43" s="9" t="s">
        <v>70</v>
      </c>
      <c r="D43" s="10">
        <v>38933</v>
      </c>
      <c r="E43" s="9" t="s">
        <v>188</v>
      </c>
      <c r="F43" s="9" t="s">
        <v>72</v>
      </c>
      <c r="G43" s="9" t="str">
        <f>IF(Table1[[#This Row],[POHLAVI]]="M","Muž", "Žena")</f>
        <v>Žena</v>
      </c>
      <c r="H43" s="9">
        <v>42</v>
      </c>
      <c r="I43" s="9" t="s">
        <v>67</v>
      </c>
      <c r="J43" t="str">
        <f t="shared" si="0"/>
        <v>Kateřina Stupková</v>
      </c>
    </row>
    <row r="44" spans="1:10" ht="14.4" x14ac:dyDescent="0.3">
      <c r="A44" s="9" t="s">
        <v>103</v>
      </c>
      <c r="B44" s="9" t="s">
        <v>189</v>
      </c>
      <c r="C44" s="9" t="s">
        <v>64</v>
      </c>
      <c r="D44" s="10">
        <v>38293</v>
      </c>
      <c r="E44" s="9" t="s">
        <v>190</v>
      </c>
      <c r="F44" s="9" t="s">
        <v>66</v>
      </c>
      <c r="G44" s="9" t="str">
        <f>IF(Table1[[#This Row],[POHLAVI]]="M","Muž", "Žena")</f>
        <v>Muž</v>
      </c>
      <c r="H44" s="9">
        <v>43</v>
      </c>
      <c r="I44" s="9" t="s">
        <v>67</v>
      </c>
      <c r="J44" t="str">
        <f t="shared" si="0"/>
        <v>Jakub Svatoň</v>
      </c>
    </row>
    <row r="45" spans="1:10" ht="14.4" x14ac:dyDescent="0.3">
      <c r="A45" s="9" t="s">
        <v>178</v>
      </c>
      <c r="B45" s="9" t="s">
        <v>191</v>
      </c>
      <c r="C45" s="9" t="s">
        <v>70</v>
      </c>
      <c r="D45" s="10">
        <v>38524</v>
      </c>
      <c r="E45" s="9" t="s">
        <v>192</v>
      </c>
      <c r="F45" s="9" t="s">
        <v>66</v>
      </c>
      <c r="G45" s="9" t="str">
        <f>IF(Table1[[#This Row],[POHLAVI]]="M","Muž", "Žena")</f>
        <v>Muž</v>
      </c>
      <c r="H45" s="9">
        <v>44</v>
      </c>
      <c r="I45" s="9" t="s">
        <v>67</v>
      </c>
      <c r="J45" t="str">
        <f t="shared" si="0"/>
        <v>Marek Šolc</v>
      </c>
    </row>
    <row r="46" spans="1:10" ht="14.4" x14ac:dyDescent="0.3">
      <c r="A46" s="9" t="s">
        <v>133</v>
      </c>
      <c r="B46" s="9" t="s">
        <v>193</v>
      </c>
      <c r="C46" s="9" t="s">
        <v>70</v>
      </c>
      <c r="D46" s="10">
        <v>38693</v>
      </c>
      <c r="E46" s="9" t="s">
        <v>194</v>
      </c>
      <c r="F46" s="9" t="s">
        <v>72</v>
      </c>
      <c r="G46" s="9" t="str">
        <f>IF(Table1[[#This Row],[POHLAVI]]="M","Muž", "Žena")</f>
        <v>Žena</v>
      </c>
      <c r="H46" s="9">
        <v>45</v>
      </c>
      <c r="I46" s="9" t="s">
        <v>67</v>
      </c>
      <c r="J46" t="str">
        <f t="shared" si="0"/>
        <v>Tereza Tatíčková</v>
      </c>
    </row>
    <row r="47" spans="1:10" ht="14.4" x14ac:dyDescent="0.3">
      <c r="A47" s="9" t="s">
        <v>195</v>
      </c>
      <c r="B47" s="9" t="s">
        <v>196</v>
      </c>
      <c r="C47" s="9" t="s">
        <v>70</v>
      </c>
      <c r="D47" s="10">
        <v>38859</v>
      </c>
      <c r="E47" s="9" t="s">
        <v>197</v>
      </c>
      <c r="F47" s="9" t="s">
        <v>72</v>
      </c>
      <c r="G47" s="9" t="str">
        <f>IF(Table1[[#This Row],[POHLAVI]]="M","Muž", "Žena")</f>
        <v>Žena</v>
      </c>
      <c r="H47" s="9">
        <v>46</v>
      </c>
      <c r="I47" s="9" t="s">
        <v>67</v>
      </c>
      <c r="J47" t="str">
        <f t="shared" si="0"/>
        <v>Nina Zichová</v>
      </c>
    </row>
    <row r="48" spans="1:10" ht="14.4" x14ac:dyDescent="0.3">
      <c r="A48" s="9" t="s">
        <v>198</v>
      </c>
      <c r="B48" s="9" t="s">
        <v>199</v>
      </c>
      <c r="C48" s="9" t="s">
        <v>70</v>
      </c>
      <c r="D48" s="10">
        <v>38738</v>
      </c>
      <c r="E48" s="9" t="s">
        <v>200</v>
      </c>
      <c r="F48" s="9" t="s">
        <v>72</v>
      </c>
      <c r="G48" s="9" t="str">
        <f>IF(Table1[[#This Row],[POHLAVI]]="M","Muž", "Žena")</f>
        <v>Žena</v>
      </c>
      <c r="H48" s="9">
        <v>47</v>
      </c>
      <c r="I48" s="9" t="s">
        <v>67</v>
      </c>
      <c r="J48" t="str">
        <f t="shared" si="0"/>
        <v>Alžběta Žáková</v>
      </c>
    </row>
    <row r="49" spans="1:10" ht="14.4" x14ac:dyDescent="0.3">
      <c r="A49" s="9" t="s">
        <v>169</v>
      </c>
      <c r="B49" s="9" t="s">
        <v>201</v>
      </c>
      <c r="C49" s="9" t="s">
        <v>70</v>
      </c>
      <c r="D49" s="10">
        <v>38702</v>
      </c>
      <c r="E49" s="9" t="s">
        <v>202</v>
      </c>
      <c r="F49" s="9" t="s">
        <v>72</v>
      </c>
      <c r="G49" s="9" t="str">
        <f>IF(Table1[[#This Row],[POHLAVI]]="M","Muž", "Žena")</f>
        <v>Žena</v>
      </c>
      <c r="H49" s="9">
        <v>48</v>
      </c>
      <c r="I49" s="9" t="s">
        <v>67</v>
      </c>
      <c r="J49" t="str">
        <f t="shared" si="0"/>
        <v>Monika Benešová</v>
      </c>
    </row>
    <row r="50" spans="1:10" ht="14.4" x14ac:dyDescent="0.3">
      <c r="A50" s="9" t="s">
        <v>203</v>
      </c>
      <c r="B50" s="9" t="s">
        <v>204</v>
      </c>
      <c r="C50" s="9" t="s">
        <v>70</v>
      </c>
      <c r="D50" s="10">
        <v>38731</v>
      </c>
      <c r="E50" s="9" t="s">
        <v>205</v>
      </c>
      <c r="F50" s="9" t="s">
        <v>72</v>
      </c>
      <c r="G50" s="9" t="str">
        <f>IF(Table1[[#This Row],[POHLAVI]]="M","Muž", "Žena")</f>
        <v>Žena</v>
      </c>
      <c r="H50" s="9">
        <v>49</v>
      </c>
      <c r="I50" s="9" t="s">
        <v>67</v>
      </c>
      <c r="J50" t="str">
        <f t="shared" si="0"/>
        <v>Veronika Hlaváčová</v>
      </c>
    </row>
    <row r="51" spans="1:10" ht="14.4" x14ac:dyDescent="0.3">
      <c r="A51" s="9" t="s">
        <v>175</v>
      </c>
      <c r="B51" s="9" t="s">
        <v>206</v>
      </c>
      <c r="C51" s="9" t="s">
        <v>70</v>
      </c>
      <c r="D51" s="10">
        <v>38741</v>
      </c>
      <c r="E51" s="9" t="s">
        <v>207</v>
      </c>
      <c r="F51" s="9" t="s">
        <v>66</v>
      </c>
      <c r="G51" s="9" t="str">
        <f>IF(Table1[[#This Row],[POHLAVI]]="M","Muž", "Žena")</f>
        <v>Muž</v>
      </c>
      <c r="H51" s="9">
        <v>50</v>
      </c>
      <c r="I51" s="9" t="s">
        <v>67</v>
      </c>
      <c r="J51" t="str">
        <f t="shared" si="0"/>
        <v>Aleš Mrázek</v>
      </c>
    </row>
    <row r="52" spans="1:10" ht="14.4" x14ac:dyDescent="0.3">
      <c r="A52" s="9" t="s">
        <v>106</v>
      </c>
      <c r="B52" s="9" t="s">
        <v>181</v>
      </c>
      <c r="C52" s="9" t="s">
        <v>70</v>
      </c>
      <c r="D52" s="10">
        <v>38815</v>
      </c>
      <c r="E52" s="9" t="s">
        <v>208</v>
      </c>
      <c r="F52" s="9" t="s">
        <v>66</v>
      </c>
      <c r="G52" s="9" t="str">
        <f>IF(Table1[[#This Row],[POHLAVI]]="M","Muž", "Žena")</f>
        <v>Muž</v>
      </c>
      <c r="H52" s="9">
        <v>51</v>
      </c>
      <c r="I52" s="9" t="s">
        <v>67</v>
      </c>
      <c r="J52" t="str">
        <f t="shared" si="0"/>
        <v>Vojtěch Sláma</v>
      </c>
    </row>
    <row r="53" spans="1:10" ht="14.4" x14ac:dyDescent="0.3">
      <c r="A53" s="9" t="s">
        <v>209</v>
      </c>
      <c r="B53" s="9" t="s">
        <v>152</v>
      </c>
      <c r="C53" s="9" t="s">
        <v>70</v>
      </c>
      <c r="D53" s="10">
        <v>38819</v>
      </c>
      <c r="E53" s="9" t="s">
        <v>210</v>
      </c>
      <c r="F53" s="9" t="s">
        <v>66</v>
      </c>
      <c r="G53" s="9" t="str">
        <f>IF(Table1[[#This Row],[POHLAVI]]="M","Muž", "Žena")</f>
        <v>Muž</v>
      </c>
      <c r="H53" s="9">
        <v>52</v>
      </c>
      <c r="I53" s="9" t="s">
        <v>67</v>
      </c>
      <c r="J53" t="str">
        <f t="shared" si="0"/>
        <v>Vít Dvořák</v>
      </c>
    </row>
    <row r="54" spans="1:10" ht="14.4" x14ac:dyDescent="0.3">
      <c r="A54" s="9" t="s">
        <v>211</v>
      </c>
      <c r="B54" s="9" t="s">
        <v>212</v>
      </c>
      <c r="C54" s="9" t="s">
        <v>70</v>
      </c>
      <c r="D54" s="10">
        <v>38891</v>
      </c>
      <c r="E54" s="9" t="s">
        <v>213</v>
      </c>
      <c r="F54" s="9" t="s">
        <v>72</v>
      </c>
      <c r="G54" s="9" t="str">
        <f>IF(Table1[[#This Row],[POHLAVI]]="M","Muž", "Žena")</f>
        <v>Žena</v>
      </c>
      <c r="H54" s="9">
        <v>53</v>
      </c>
      <c r="I54" s="9" t="s">
        <v>67</v>
      </c>
      <c r="J54" t="str">
        <f t="shared" si="0"/>
        <v>Valerie Fogašova</v>
      </c>
    </row>
    <row r="55" spans="1:10" ht="14.4" x14ac:dyDescent="0.3">
      <c r="A55" s="9" t="s">
        <v>214</v>
      </c>
      <c r="B55" s="9" t="s">
        <v>215</v>
      </c>
      <c r="C55" s="9" t="s">
        <v>70</v>
      </c>
      <c r="D55" s="10">
        <v>38945</v>
      </c>
      <c r="E55" s="9" t="s">
        <v>216</v>
      </c>
      <c r="F55" s="9" t="s">
        <v>72</v>
      </c>
      <c r="G55" s="9" t="str">
        <f>IF(Table1[[#This Row],[POHLAVI]]="M","Muž", "Žena")</f>
        <v>Žena</v>
      </c>
      <c r="H55" s="9">
        <v>54</v>
      </c>
      <c r="I55" s="9" t="s">
        <v>67</v>
      </c>
      <c r="J55" t="str">
        <f t="shared" si="0"/>
        <v>Vanesa Fogašová</v>
      </c>
    </row>
    <row r="56" spans="1:10" ht="14.4" x14ac:dyDescent="0.3">
      <c r="A56" s="9" t="s">
        <v>97</v>
      </c>
      <c r="B56" s="9" t="s">
        <v>217</v>
      </c>
      <c r="C56" s="9" t="s">
        <v>70</v>
      </c>
      <c r="D56" s="10">
        <v>38465</v>
      </c>
      <c r="E56" s="9" t="s">
        <v>218</v>
      </c>
      <c r="F56" s="9" t="s">
        <v>72</v>
      </c>
      <c r="G56" s="9" t="str">
        <f>IF(Table1[[#This Row],[POHLAVI]]="M","Muž", "Žena")</f>
        <v>Žena</v>
      </c>
      <c r="H56" s="9">
        <v>55</v>
      </c>
      <c r="I56" s="9" t="s">
        <v>67</v>
      </c>
      <c r="J56" t="str">
        <f t="shared" si="0"/>
        <v>Michaela Harvánková</v>
      </c>
    </row>
    <row r="57" spans="1:10" ht="14.4" x14ac:dyDescent="0.3">
      <c r="A57" s="9" t="s">
        <v>77</v>
      </c>
      <c r="B57" s="9" t="s">
        <v>219</v>
      </c>
      <c r="C57" s="9" t="s">
        <v>70</v>
      </c>
      <c r="D57" s="10">
        <v>38457</v>
      </c>
      <c r="E57" s="9" t="s">
        <v>220</v>
      </c>
      <c r="F57" s="9" t="s">
        <v>66</v>
      </c>
      <c r="G57" s="9" t="str">
        <f>IF(Table1[[#This Row],[POHLAVI]]="M","Muž", "Žena")</f>
        <v>Muž</v>
      </c>
      <c r="H57" s="9">
        <v>56</v>
      </c>
      <c r="I57" s="9" t="s">
        <v>67</v>
      </c>
      <c r="J57" t="str">
        <f t="shared" si="0"/>
        <v>Tomáš Havlík</v>
      </c>
    </row>
    <row r="58" spans="1:10" ht="14.4" x14ac:dyDescent="0.3">
      <c r="A58" s="9" t="s">
        <v>103</v>
      </c>
      <c r="B58" s="9" t="s">
        <v>221</v>
      </c>
      <c r="C58" s="9" t="s">
        <v>70</v>
      </c>
      <c r="D58" s="10">
        <v>38353</v>
      </c>
      <c r="E58" s="9" t="s">
        <v>222</v>
      </c>
      <c r="F58" s="9" t="s">
        <v>66</v>
      </c>
      <c r="G58" s="9" t="str">
        <f>IF(Table1[[#This Row],[POHLAVI]]="M","Muž", "Žena")</f>
        <v>Muž</v>
      </c>
      <c r="H58" s="9">
        <v>57</v>
      </c>
      <c r="I58" s="9" t="s">
        <v>67</v>
      </c>
      <c r="J58" t="str">
        <f t="shared" si="0"/>
        <v>Jakub Horký</v>
      </c>
    </row>
    <row r="59" spans="1:10" ht="14.4" x14ac:dyDescent="0.3">
      <c r="A59" s="9" t="s">
        <v>77</v>
      </c>
      <c r="B59" s="9" t="s">
        <v>223</v>
      </c>
      <c r="C59" s="9" t="s">
        <v>70</v>
      </c>
      <c r="D59" s="10">
        <v>38141</v>
      </c>
      <c r="E59" s="9" t="s">
        <v>224</v>
      </c>
      <c r="F59" s="9" t="s">
        <v>66</v>
      </c>
      <c r="G59" s="9" t="str">
        <f>IF(Table1[[#This Row],[POHLAVI]]="M","Muž", "Žena")</f>
        <v>Muž</v>
      </c>
      <c r="H59" s="9">
        <v>58</v>
      </c>
      <c r="I59" s="9" t="s">
        <v>67</v>
      </c>
      <c r="J59" t="str">
        <f t="shared" si="0"/>
        <v>Tomáš Jakubec</v>
      </c>
    </row>
    <row r="60" spans="1:10" ht="14.4" x14ac:dyDescent="0.3">
      <c r="A60" s="9" t="s">
        <v>111</v>
      </c>
      <c r="B60" s="9" t="s">
        <v>225</v>
      </c>
      <c r="C60" s="9" t="s">
        <v>70</v>
      </c>
      <c r="D60" s="10">
        <v>38141</v>
      </c>
      <c r="E60" s="9" t="s">
        <v>226</v>
      </c>
      <c r="F60" s="9" t="s">
        <v>66</v>
      </c>
      <c r="G60" s="9" t="str">
        <f>IF(Table1[[#This Row],[POHLAVI]]="M","Muž", "Žena")</f>
        <v>Muž</v>
      </c>
      <c r="H60" s="9">
        <v>59</v>
      </c>
      <c r="I60" s="9" t="s">
        <v>67</v>
      </c>
      <c r="J60" t="str">
        <f t="shared" si="0"/>
        <v>Adam Jirků</v>
      </c>
    </row>
    <row r="61" spans="1:10" ht="14.4" x14ac:dyDescent="0.3">
      <c r="A61" s="9" t="s">
        <v>227</v>
      </c>
      <c r="B61" s="9" t="s">
        <v>228</v>
      </c>
      <c r="C61" s="9" t="s">
        <v>229</v>
      </c>
      <c r="D61" s="10">
        <v>38583</v>
      </c>
      <c r="E61" s="9" t="s">
        <v>230</v>
      </c>
      <c r="F61" s="9" t="s">
        <v>72</v>
      </c>
      <c r="G61" s="9" t="str">
        <f>IF(Table1[[#This Row],[POHLAVI]]="M","Muž", "Žena")</f>
        <v>Žena</v>
      </c>
      <c r="H61" s="9">
        <v>60</v>
      </c>
      <c r="I61" s="9" t="s">
        <v>67</v>
      </c>
      <c r="J61" t="str">
        <f t="shared" si="0"/>
        <v>Libuše Konečná</v>
      </c>
    </row>
    <row r="62" spans="1:10" ht="14.4" x14ac:dyDescent="0.3">
      <c r="A62" s="9" t="s">
        <v>231</v>
      </c>
      <c r="B62" s="9" t="s">
        <v>232</v>
      </c>
      <c r="C62" s="9" t="s">
        <v>70</v>
      </c>
      <c r="D62" s="10">
        <v>38309</v>
      </c>
      <c r="E62" s="9" t="s">
        <v>233</v>
      </c>
      <c r="F62" s="9" t="s">
        <v>72</v>
      </c>
      <c r="G62" s="9" t="str">
        <f>IF(Table1[[#This Row],[POHLAVI]]="M","Muž", "Žena")</f>
        <v>Žena</v>
      </c>
      <c r="H62" s="9">
        <v>61</v>
      </c>
      <c r="I62" s="9" t="s">
        <v>67</v>
      </c>
      <c r="J62" t="str">
        <f t="shared" si="0"/>
        <v>Edita Kosourová</v>
      </c>
    </row>
    <row r="63" spans="1:10" ht="14.4" x14ac:dyDescent="0.3">
      <c r="A63" s="9" t="s">
        <v>127</v>
      </c>
      <c r="B63" s="9" t="s">
        <v>234</v>
      </c>
      <c r="C63" s="9" t="s">
        <v>70</v>
      </c>
      <c r="D63" s="10">
        <v>38363</v>
      </c>
      <c r="E63" s="9" t="s">
        <v>235</v>
      </c>
      <c r="F63" s="9" t="s">
        <v>66</v>
      </c>
      <c r="G63" s="9" t="str">
        <f>IF(Table1[[#This Row],[POHLAVI]]="M","Muž", "Žena")</f>
        <v>Muž</v>
      </c>
      <c r="H63" s="9">
        <v>62</v>
      </c>
      <c r="I63" s="9" t="s">
        <v>67</v>
      </c>
      <c r="J63" t="str">
        <f t="shared" si="0"/>
        <v>Martin Kršek</v>
      </c>
    </row>
    <row r="64" spans="1:10" ht="14.4" x14ac:dyDescent="0.3">
      <c r="A64" s="9" t="s">
        <v>236</v>
      </c>
      <c r="B64" s="9" t="s">
        <v>237</v>
      </c>
      <c r="C64" s="9" t="s">
        <v>70</v>
      </c>
      <c r="D64" s="10">
        <v>38021</v>
      </c>
      <c r="E64" s="9" t="s">
        <v>238</v>
      </c>
      <c r="F64" s="9" t="s">
        <v>66</v>
      </c>
      <c r="G64" s="9" t="str">
        <f>IF(Table1[[#This Row],[POHLAVI]]="M","Muž", "Žena")</f>
        <v>Muž</v>
      </c>
      <c r="H64" s="9">
        <v>63</v>
      </c>
      <c r="I64" s="9" t="s">
        <v>80</v>
      </c>
      <c r="J64" t="str">
        <f t="shared" si="0"/>
        <v>Jaroslav Kříž</v>
      </c>
    </row>
    <row r="65" spans="1:10" ht="14.4" x14ac:dyDescent="0.3">
      <c r="A65" s="9" t="s">
        <v>239</v>
      </c>
      <c r="B65" s="9" t="s">
        <v>240</v>
      </c>
      <c r="C65" s="9" t="s">
        <v>70</v>
      </c>
      <c r="D65" s="10">
        <v>38323</v>
      </c>
      <c r="E65" s="9" t="s">
        <v>241</v>
      </c>
      <c r="F65" s="9" t="s">
        <v>72</v>
      </c>
      <c r="G65" s="9" t="str">
        <f>IF(Table1[[#This Row],[POHLAVI]]="M","Muž", "Žena")</f>
        <v>Žena</v>
      </c>
      <c r="H65" s="9">
        <v>64</v>
      </c>
      <c r="I65" s="9" t="s">
        <v>67</v>
      </c>
      <c r="J65" t="str">
        <f t="shared" si="0"/>
        <v>Adéla Křížová</v>
      </c>
    </row>
    <row r="66" spans="1:10" ht="14.4" x14ac:dyDescent="0.3">
      <c r="A66" s="9" t="s">
        <v>145</v>
      </c>
      <c r="B66" s="9" t="s">
        <v>242</v>
      </c>
      <c r="C66" s="9" t="s">
        <v>70</v>
      </c>
      <c r="D66" s="10">
        <v>38548</v>
      </c>
      <c r="E66" s="9" t="s">
        <v>243</v>
      </c>
      <c r="F66" s="9" t="s">
        <v>66</v>
      </c>
      <c r="G66" s="9" t="str">
        <f>IF(Table1[[#This Row],[POHLAVI]]="M","Muž", "Žena")</f>
        <v>Muž</v>
      </c>
      <c r="H66" s="9">
        <v>65</v>
      </c>
      <c r="I66" s="9" t="s">
        <v>67</v>
      </c>
      <c r="J66" t="str">
        <f t="shared" si="0"/>
        <v>Pavel Kubec</v>
      </c>
    </row>
    <row r="67" spans="1:10" ht="14.4" x14ac:dyDescent="0.3">
      <c r="A67" s="9" t="s">
        <v>133</v>
      </c>
      <c r="B67" s="9" t="s">
        <v>244</v>
      </c>
      <c r="C67" s="9" t="s">
        <v>70</v>
      </c>
      <c r="D67" s="10">
        <v>38385</v>
      </c>
      <c r="E67" s="9" t="s">
        <v>245</v>
      </c>
      <c r="F67" s="9" t="s">
        <v>72</v>
      </c>
      <c r="G67" s="9" t="str">
        <f>IF(Table1[[#This Row],[POHLAVI]]="M","Muž", "Žena")</f>
        <v>Žena</v>
      </c>
      <c r="H67" s="9">
        <v>66</v>
      </c>
      <c r="I67" s="9" t="s">
        <v>67</v>
      </c>
      <c r="J67" t="str">
        <f t="shared" ref="J67:J130" si="1">_xlfn.TEXTJOIN(" ",1,$A67:$B67)</f>
        <v>Tereza Miková</v>
      </c>
    </row>
    <row r="68" spans="1:10" ht="14.4" x14ac:dyDescent="0.3">
      <c r="A68" s="9" t="s">
        <v>114</v>
      </c>
      <c r="B68" s="9" t="s">
        <v>104</v>
      </c>
      <c r="C68" s="9" t="s">
        <v>70</v>
      </c>
      <c r="D68" s="10">
        <v>38311</v>
      </c>
      <c r="E68" s="9" t="s">
        <v>246</v>
      </c>
      <c r="F68" s="9" t="s">
        <v>66</v>
      </c>
      <c r="G68" s="9" t="str">
        <f>IF(Table1[[#This Row],[POHLAVI]]="M","Muž", "Žena")</f>
        <v>Muž</v>
      </c>
      <c r="H68" s="9">
        <v>67</v>
      </c>
      <c r="I68" s="9" t="s">
        <v>117</v>
      </c>
      <c r="J68" t="str">
        <f t="shared" si="1"/>
        <v>David Okurka</v>
      </c>
    </row>
    <row r="69" spans="1:10" ht="14.4" x14ac:dyDescent="0.3">
      <c r="A69" s="9" t="s">
        <v>247</v>
      </c>
      <c r="B69" s="9" t="s">
        <v>248</v>
      </c>
      <c r="C69" s="9" t="s">
        <v>229</v>
      </c>
      <c r="D69" s="10">
        <v>38567</v>
      </c>
      <c r="E69" s="9" t="s">
        <v>249</v>
      </c>
      <c r="F69" s="9" t="s">
        <v>72</v>
      </c>
      <c r="G69" s="9" t="str">
        <f>IF(Table1[[#This Row],[POHLAVI]]="M","Muž", "Žena")</f>
        <v>Žena</v>
      </c>
      <c r="H69" s="9">
        <v>68</v>
      </c>
      <c r="I69" s="9" t="s">
        <v>67</v>
      </c>
      <c r="J69" t="str">
        <f t="shared" si="1"/>
        <v>Jitka Parkanová</v>
      </c>
    </row>
    <row r="70" spans="1:10" ht="14.4" x14ac:dyDescent="0.3">
      <c r="A70" s="9" t="s">
        <v>151</v>
      </c>
      <c r="B70" s="9" t="s">
        <v>107</v>
      </c>
      <c r="C70" s="9" t="s">
        <v>70</v>
      </c>
      <c r="D70" s="10">
        <v>38567</v>
      </c>
      <c r="E70" s="9" t="s">
        <v>250</v>
      </c>
      <c r="F70" s="9" t="s">
        <v>66</v>
      </c>
      <c r="G70" s="9" t="str">
        <f>IF(Table1[[#This Row],[POHLAVI]]="M","Muž", "Žena")</f>
        <v>Muž</v>
      </c>
      <c r="H70" s="9">
        <v>69</v>
      </c>
      <c r="I70" s="9" t="s">
        <v>91</v>
      </c>
      <c r="J70" t="str">
        <f t="shared" si="1"/>
        <v>Petr Pejchal</v>
      </c>
    </row>
    <row r="71" spans="1:10" ht="14.4" x14ac:dyDescent="0.3">
      <c r="A71" s="9" t="s">
        <v>203</v>
      </c>
      <c r="B71" s="9" t="s">
        <v>251</v>
      </c>
      <c r="C71" s="9" t="s">
        <v>70</v>
      </c>
      <c r="D71" s="10">
        <v>38051</v>
      </c>
      <c r="E71" s="9" t="s">
        <v>252</v>
      </c>
      <c r="F71" s="9" t="s">
        <v>72</v>
      </c>
      <c r="G71" s="9" t="str">
        <f>IF(Table1[[#This Row],[POHLAVI]]="M","Muž", "Žena")</f>
        <v>Žena</v>
      </c>
      <c r="H71" s="9">
        <v>70</v>
      </c>
      <c r="I71" s="9" t="s">
        <v>67</v>
      </c>
      <c r="J71" t="str">
        <f t="shared" si="1"/>
        <v>Veronika Pejchalová</v>
      </c>
    </row>
    <row r="72" spans="1:10" ht="14.4" x14ac:dyDescent="0.3">
      <c r="A72" s="9" t="s">
        <v>97</v>
      </c>
      <c r="B72" s="9" t="s">
        <v>253</v>
      </c>
      <c r="C72" s="9" t="s">
        <v>70</v>
      </c>
      <c r="D72" s="10">
        <v>38533</v>
      </c>
      <c r="E72" s="9" t="s">
        <v>254</v>
      </c>
      <c r="F72" s="9" t="s">
        <v>72</v>
      </c>
      <c r="G72" s="9" t="str">
        <f>IF(Table1[[#This Row],[POHLAVI]]="M","Muž", "Žena")</f>
        <v>Žena</v>
      </c>
      <c r="H72" s="9">
        <v>71</v>
      </c>
      <c r="I72" s="9" t="s">
        <v>67</v>
      </c>
      <c r="J72" t="str">
        <f t="shared" si="1"/>
        <v>Michaela Pinterová</v>
      </c>
    </row>
    <row r="73" spans="1:10" ht="14.4" x14ac:dyDescent="0.3">
      <c r="A73" s="9" t="s">
        <v>255</v>
      </c>
      <c r="B73" s="9" t="s">
        <v>256</v>
      </c>
      <c r="C73" s="9" t="s">
        <v>70</v>
      </c>
      <c r="D73" s="10">
        <v>38068</v>
      </c>
      <c r="E73" s="9" t="s">
        <v>257</v>
      </c>
      <c r="F73" s="9" t="s">
        <v>72</v>
      </c>
      <c r="G73" s="9" t="str">
        <f>IF(Table1[[#This Row],[POHLAVI]]="M","Muž", "Žena")</f>
        <v>Žena</v>
      </c>
      <c r="H73" s="9">
        <v>72</v>
      </c>
      <c r="I73" s="9" t="s">
        <v>67</v>
      </c>
      <c r="J73" t="str">
        <f t="shared" si="1"/>
        <v>Aneta Pokorná</v>
      </c>
    </row>
    <row r="74" spans="1:10" ht="14.4" x14ac:dyDescent="0.3">
      <c r="A74" s="9" t="s">
        <v>258</v>
      </c>
      <c r="B74" s="9" t="s">
        <v>259</v>
      </c>
      <c r="C74" s="9" t="s">
        <v>70</v>
      </c>
      <c r="D74" s="10">
        <v>38547</v>
      </c>
      <c r="E74" s="9" t="s">
        <v>260</v>
      </c>
      <c r="F74" s="9" t="s">
        <v>72</v>
      </c>
      <c r="G74" s="9" t="str">
        <f>IF(Table1[[#This Row],[POHLAVI]]="M","Muž", "Žena")</f>
        <v>Žena</v>
      </c>
      <c r="H74" s="9">
        <v>73</v>
      </c>
      <c r="I74" s="9" t="s">
        <v>67</v>
      </c>
      <c r="J74" t="str">
        <f t="shared" si="1"/>
        <v>Karolína Polívková</v>
      </c>
    </row>
    <row r="75" spans="1:10" ht="14.4" x14ac:dyDescent="0.3">
      <c r="A75" s="9" t="s">
        <v>261</v>
      </c>
      <c r="B75" s="9" t="s">
        <v>262</v>
      </c>
      <c r="C75" s="9" t="s">
        <v>70</v>
      </c>
      <c r="D75" s="10">
        <v>38350</v>
      </c>
      <c r="E75" s="9" t="s">
        <v>263</v>
      </c>
      <c r="F75" s="9" t="s">
        <v>72</v>
      </c>
      <c r="G75" s="9" t="str">
        <f>IF(Table1[[#This Row],[POHLAVI]]="M","Muž", "Žena")</f>
        <v>Žena</v>
      </c>
      <c r="H75" s="9">
        <v>74</v>
      </c>
      <c r="I75" s="9" t="s">
        <v>67</v>
      </c>
      <c r="J75" t="str">
        <f t="shared" si="1"/>
        <v>Jana Tomancová</v>
      </c>
    </row>
    <row r="76" spans="1:10" ht="14.4" x14ac:dyDescent="0.3">
      <c r="A76" s="9" t="s">
        <v>264</v>
      </c>
      <c r="B76" s="9" t="s">
        <v>265</v>
      </c>
      <c r="C76" s="9" t="s">
        <v>70</v>
      </c>
      <c r="D76" s="10">
        <v>38350</v>
      </c>
      <c r="E76" s="9" t="s">
        <v>266</v>
      </c>
      <c r="F76" s="9" t="s">
        <v>66</v>
      </c>
      <c r="G76" s="9" t="str">
        <f>IF(Table1[[#This Row],[POHLAVI]]="M","Muž", "Žena")</f>
        <v>Muž</v>
      </c>
      <c r="H76" s="9">
        <v>75</v>
      </c>
      <c r="I76" s="9" t="s">
        <v>67</v>
      </c>
      <c r="J76" t="str">
        <f t="shared" si="1"/>
        <v>Franz Zerzán</v>
      </c>
    </row>
    <row r="77" spans="1:10" ht="14.4" x14ac:dyDescent="0.3">
      <c r="A77" s="9" t="s">
        <v>136</v>
      </c>
      <c r="B77" s="9" t="s">
        <v>267</v>
      </c>
      <c r="C77" s="9" t="s">
        <v>70</v>
      </c>
      <c r="D77" s="10">
        <v>38399</v>
      </c>
      <c r="E77" s="9" t="s">
        <v>268</v>
      </c>
      <c r="F77" s="9" t="s">
        <v>66</v>
      </c>
      <c r="G77" s="9" t="str">
        <f>IF(Table1[[#This Row],[POHLAVI]]="M","Muž", "Žena")</f>
        <v>Muž</v>
      </c>
      <c r="H77" s="9">
        <v>76</v>
      </c>
      <c r="I77" s="9" t="s">
        <v>67</v>
      </c>
      <c r="J77" t="str">
        <f t="shared" si="1"/>
        <v>Jan Bednář</v>
      </c>
    </row>
    <row r="78" spans="1:10" ht="14.4" x14ac:dyDescent="0.3">
      <c r="A78" s="9" t="s">
        <v>269</v>
      </c>
      <c r="B78" s="9" t="s">
        <v>270</v>
      </c>
      <c r="C78" s="9" t="s">
        <v>70</v>
      </c>
      <c r="D78" s="10">
        <v>38445</v>
      </c>
      <c r="E78" s="9" t="s">
        <v>271</v>
      </c>
      <c r="F78" s="9" t="s">
        <v>66</v>
      </c>
      <c r="G78" s="9" t="str">
        <f>IF(Table1[[#This Row],[POHLAVI]]="M","Muž", "Žena")</f>
        <v>Muž</v>
      </c>
      <c r="H78" s="9">
        <v>77</v>
      </c>
      <c r="I78" s="9" t="s">
        <v>67</v>
      </c>
      <c r="J78" t="str">
        <f t="shared" si="1"/>
        <v>Matyáš Bradáč</v>
      </c>
    </row>
    <row r="79" spans="1:10" ht="14.4" x14ac:dyDescent="0.3">
      <c r="A79" s="9" t="s">
        <v>100</v>
      </c>
      <c r="B79" s="9" t="s">
        <v>272</v>
      </c>
      <c r="C79" s="9" t="s">
        <v>70</v>
      </c>
      <c r="D79" s="10">
        <v>38545</v>
      </c>
      <c r="E79" s="9" t="s">
        <v>273</v>
      </c>
      <c r="F79" s="9" t="s">
        <v>72</v>
      </c>
      <c r="G79" s="9" t="str">
        <f>IF(Table1[[#This Row],[POHLAVI]]="M","Muž", "Žena")</f>
        <v>Žena</v>
      </c>
      <c r="H79" s="9">
        <v>78</v>
      </c>
      <c r="I79" s="9" t="s">
        <v>67</v>
      </c>
      <c r="J79" t="str">
        <f t="shared" si="1"/>
        <v>Barbora Burešová</v>
      </c>
    </row>
    <row r="80" spans="1:10" ht="14.4" x14ac:dyDescent="0.3">
      <c r="A80" s="9" t="s">
        <v>178</v>
      </c>
      <c r="B80" s="9" t="s">
        <v>274</v>
      </c>
      <c r="C80" s="9" t="s">
        <v>275</v>
      </c>
      <c r="D80" s="10">
        <v>38150</v>
      </c>
      <c r="E80" s="9" t="s">
        <v>276</v>
      </c>
      <c r="F80" s="9" t="s">
        <v>66</v>
      </c>
      <c r="G80" s="9" t="str">
        <f>IF(Table1[[#This Row],[POHLAVI]]="M","Muž", "Žena")</f>
        <v>Muž</v>
      </c>
      <c r="H80" s="9">
        <v>79</v>
      </c>
      <c r="I80" s="9" t="s">
        <v>67</v>
      </c>
      <c r="J80" t="str">
        <f t="shared" si="1"/>
        <v>Marek Cihlář</v>
      </c>
    </row>
    <row r="81" spans="1:10" ht="14.4" x14ac:dyDescent="0.3">
      <c r="A81" s="9" t="s">
        <v>139</v>
      </c>
      <c r="B81" s="9" t="s">
        <v>152</v>
      </c>
      <c r="C81" s="9" t="s">
        <v>70</v>
      </c>
      <c r="D81" s="10">
        <v>38449</v>
      </c>
      <c r="E81" s="9" t="s">
        <v>277</v>
      </c>
      <c r="F81" s="9" t="s">
        <v>66</v>
      </c>
      <c r="G81" s="9" t="str">
        <f>IF(Table1[[#This Row],[POHLAVI]]="M","Muž", "Žena")</f>
        <v>Muž</v>
      </c>
      <c r="H81" s="9">
        <v>80</v>
      </c>
      <c r="I81" s="9" t="s">
        <v>67</v>
      </c>
      <c r="J81" t="str">
        <f t="shared" si="1"/>
        <v>Josef Dvořák</v>
      </c>
    </row>
    <row r="82" spans="1:10" ht="14.4" x14ac:dyDescent="0.3">
      <c r="A82" s="9" t="s">
        <v>278</v>
      </c>
      <c r="B82" s="9" t="s">
        <v>279</v>
      </c>
      <c r="C82" s="9" t="s">
        <v>70</v>
      </c>
      <c r="D82" s="10">
        <v>38244</v>
      </c>
      <c r="E82" s="9" t="s">
        <v>280</v>
      </c>
      <c r="F82" s="9" t="s">
        <v>66</v>
      </c>
      <c r="G82" s="9" t="str">
        <f>IF(Table1[[#This Row],[POHLAVI]]="M","Muž", "Žena")</f>
        <v>Muž</v>
      </c>
      <c r="H82" s="9">
        <v>81</v>
      </c>
      <c r="I82" s="9" t="s">
        <v>67</v>
      </c>
      <c r="J82" t="str">
        <f t="shared" si="1"/>
        <v>Jiří Fiala</v>
      </c>
    </row>
    <row r="83" spans="1:10" ht="14.4" x14ac:dyDescent="0.3">
      <c r="A83" s="9" t="s">
        <v>114</v>
      </c>
      <c r="B83" s="9" t="s">
        <v>281</v>
      </c>
      <c r="C83" s="9" t="s">
        <v>70</v>
      </c>
      <c r="D83" s="10">
        <v>38336</v>
      </c>
      <c r="E83" s="9" t="s">
        <v>282</v>
      </c>
      <c r="F83" s="9" t="s">
        <v>66</v>
      </c>
      <c r="G83" s="9" t="str">
        <f>IF(Table1[[#This Row],[POHLAVI]]="M","Muž", "Žena")</f>
        <v>Muž</v>
      </c>
      <c r="H83" s="9">
        <v>82</v>
      </c>
      <c r="I83" s="9" t="s">
        <v>67</v>
      </c>
      <c r="J83" t="str">
        <f t="shared" si="1"/>
        <v>David Fišer</v>
      </c>
    </row>
    <row r="84" spans="1:10" ht="14.4" x14ac:dyDescent="0.3">
      <c r="A84" s="9" t="s">
        <v>283</v>
      </c>
      <c r="B84" s="9" t="s">
        <v>284</v>
      </c>
      <c r="C84" s="9" t="s">
        <v>70</v>
      </c>
      <c r="D84" s="10">
        <v>38416</v>
      </c>
      <c r="E84" s="9" t="s">
        <v>285</v>
      </c>
      <c r="F84" s="9" t="s">
        <v>72</v>
      </c>
      <c r="G84" s="9" t="str">
        <f>IF(Table1[[#This Row],[POHLAVI]]="M","Muž", "Žena")</f>
        <v>Žena</v>
      </c>
      <c r="H84" s="9">
        <v>83</v>
      </c>
      <c r="I84" s="9" t="s">
        <v>67</v>
      </c>
      <c r="J84" t="str">
        <f t="shared" si="1"/>
        <v>Nataša Horváthová</v>
      </c>
    </row>
    <row r="85" spans="1:10" ht="14.4" x14ac:dyDescent="0.3">
      <c r="A85" s="9" t="s">
        <v>261</v>
      </c>
      <c r="B85" s="9" t="s">
        <v>286</v>
      </c>
      <c r="C85" s="9" t="s">
        <v>70</v>
      </c>
      <c r="D85" s="10">
        <v>38440</v>
      </c>
      <c r="E85" s="9" t="s">
        <v>287</v>
      </c>
      <c r="F85" s="9" t="s">
        <v>72</v>
      </c>
      <c r="G85" s="9" t="str">
        <f>IF(Table1[[#This Row],[POHLAVI]]="M","Muž", "Žena")</f>
        <v>Žena</v>
      </c>
      <c r="H85" s="9">
        <v>84</v>
      </c>
      <c r="I85" s="9" t="s">
        <v>67</v>
      </c>
      <c r="J85" t="str">
        <f t="shared" si="1"/>
        <v>Jana Hrnčířová</v>
      </c>
    </row>
    <row r="86" spans="1:10" ht="14.4" x14ac:dyDescent="0.3">
      <c r="A86" s="9" t="s">
        <v>288</v>
      </c>
      <c r="B86" s="9" t="s">
        <v>289</v>
      </c>
      <c r="C86" s="9" t="s">
        <v>70</v>
      </c>
      <c r="D86" s="10">
        <v>38284</v>
      </c>
      <c r="E86" s="9" t="s">
        <v>290</v>
      </c>
      <c r="F86" s="9" t="s">
        <v>66</v>
      </c>
      <c r="G86" s="9" t="str">
        <f>IF(Table1[[#This Row],[POHLAVI]]="M","Muž", "Žena")</f>
        <v>Muž</v>
      </c>
      <c r="H86" s="9">
        <v>85</v>
      </c>
      <c r="I86" s="9" t="s">
        <v>67</v>
      </c>
      <c r="J86" t="str">
        <f t="shared" si="1"/>
        <v>Filip Jelínek</v>
      </c>
    </row>
    <row r="87" spans="1:10" ht="14.4" x14ac:dyDescent="0.3">
      <c r="A87" s="9" t="s">
        <v>114</v>
      </c>
      <c r="B87" s="9" t="s">
        <v>291</v>
      </c>
      <c r="C87" s="9" t="s">
        <v>70</v>
      </c>
      <c r="D87" s="10">
        <v>38307</v>
      </c>
      <c r="E87" s="9" t="s">
        <v>292</v>
      </c>
      <c r="F87" s="9" t="s">
        <v>66</v>
      </c>
      <c r="G87" s="9" t="str">
        <f>IF(Table1[[#This Row],[POHLAVI]]="M","Muž", "Žena")</f>
        <v>Muž</v>
      </c>
      <c r="H87" s="9">
        <v>86</v>
      </c>
      <c r="I87" s="9" t="s">
        <v>67</v>
      </c>
      <c r="J87" t="str">
        <f t="shared" si="1"/>
        <v>David Jun</v>
      </c>
    </row>
    <row r="88" spans="1:10" ht="14.4" x14ac:dyDescent="0.3">
      <c r="A88" s="9" t="s">
        <v>293</v>
      </c>
      <c r="B88" s="9" t="s">
        <v>294</v>
      </c>
      <c r="C88" s="9" t="s">
        <v>70</v>
      </c>
      <c r="D88" s="10">
        <v>38306</v>
      </c>
      <c r="E88" s="9" t="s">
        <v>295</v>
      </c>
      <c r="F88" s="9" t="s">
        <v>66</v>
      </c>
      <c r="G88" s="9" t="str">
        <f>IF(Table1[[#This Row],[POHLAVI]]="M","Muž", "Žena")</f>
        <v>Muž</v>
      </c>
      <c r="H88" s="9">
        <v>87</v>
      </c>
      <c r="I88" s="9" t="s">
        <v>67</v>
      </c>
      <c r="J88" t="str">
        <f t="shared" si="1"/>
        <v>Ondřej Kadlec</v>
      </c>
    </row>
    <row r="89" spans="1:10" ht="14.4" x14ac:dyDescent="0.3">
      <c r="A89" s="9" t="s">
        <v>178</v>
      </c>
      <c r="B89" s="9" t="s">
        <v>296</v>
      </c>
      <c r="C89" s="9" t="s">
        <v>70</v>
      </c>
      <c r="D89" s="10">
        <v>38489</v>
      </c>
      <c r="E89" s="9" t="s">
        <v>297</v>
      </c>
      <c r="F89" s="9" t="s">
        <v>66</v>
      </c>
      <c r="G89" s="9" t="str">
        <f>IF(Table1[[#This Row],[POHLAVI]]="M","Muž", "Žena")</f>
        <v>Muž</v>
      </c>
      <c r="H89" s="9">
        <v>88</v>
      </c>
      <c r="I89" s="9" t="s">
        <v>67</v>
      </c>
      <c r="J89" t="str">
        <f t="shared" si="1"/>
        <v>Marek Kramár</v>
      </c>
    </row>
    <row r="90" spans="1:10" ht="14.4" x14ac:dyDescent="0.3">
      <c r="A90" s="9" t="s">
        <v>148</v>
      </c>
      <c r="B90" s="9" t="s">
        <v>298</v>
      </c>
      <c r="C90" s="9" t="s">
        <v>70</v>
      </c>
      <c r="D90" s="10">
        <v>38069</v>
      </c>
      <c r="E90" s="9" t="s">
        <v>299</v>
      </c>
      <c r="F90" s="9" t="s">
        <v>66</v>
      </c>
      <c r="G90" s="9" t="str">
        <f>IF(Table1[[#This Row],[POHLAVI]]="M","Muž", "Žena")</f>
        <v>Muž</v>
      </c>
      <c r="H90" s="9">
        <v>89</v>
      </c>
      <c r="I90" s="9" t="s">
        <v>67</v>
      </c>
      <c r="J90" t="str">
        <f t="shared" si="1"/>
        <v>Daniel Kutra</v>
      </c>
    </row>
    <row r="91" spans="1:10" ht="14.4" x14ac:dyDescent="0.3">
      <c r="A91" s="9" t="s">
        <v>288</v>
      </c>
      <c r="B91" s="9" t="s">
        <v>300</v>
      </c>
      <c r="C91" s="9" t="s">
        <v>70</v>
      </c>
      <c r="D91" s="10">
        <v>38397</v>
      </c>
      <c r="E91" s="9" t="s">
        <v>301</v>
      </c>
      <c r="F91" s="9" t="s">
        <v>66</v>
      </c>
      <c r="G91" s="9" t="str">
        <f>IF(Table1[[#This Row],[POHLAVI]]="M","Muž", "Žena")</f>
        <v>Muž</v>
      </c>
      <c r="H91" s="9">
        <v>90</v>
      </c>
      <c r="I91" s="9" t="s">
        <v>67</v>
      </c>
      <c r="J91" t="str">
        <f t="shared" si="1"/>
        <v>Filip Mareček</v>
      </c>
    </row>
    <row r="92" spans="1:10" ht="14.4" x14ac:dyDescent="0.3">
      <c r="A92" s="9" t="s">
        <v>278</v>
      </c>
      <c r="B92" s="9" t="s">
        <v>302</v>
      </c>
      <c r="C92" s="9" t="s">
        <v>70</v>
      </c>
      <c r="D92" s="10">
        <v>38580</v>
      </c>
      <c r="E92" s="9" t="s">
        <v>303</v>
      </c>
      <c r="F92" s="9" t="s">
        <v>66</v>
      </c>
      <c r="G92" s="9" t="str">
        <f>IF(Table1[[#This Row],[POHLAVI]]="M","Muž", "Žena")</f>
        <v>Muž</v>
      </c>
      <c r="H92" s="9">
        <v>91</v>
      </c>
      <c r="I92" s="9" t="s">
        <v>67</v>
      </c>
      <c r="J92" t="str">
        <f t="shared" si="1"/>
        <v>Jiří Mička</v>
      </c>
    </row>
    <row r="93" spans="1:10" ht="14.4" x14ac:dyDescent="0.3">
      <c r="A93" s="9" t="s">
        <v>304</v>
      </c>
      <c r="B93" s="9" t="s">
        <v>305</v>
      </c>
      <c r="C93" s="9" t="s">
        <v>70</v>
      </c>
      <c r="D93" s="10">
        <v>38564</v>
      </c>
      <c r="E93" s="9" t="s">
        <v>306</v>
      </c>
      <c r="F93" s="9" t="s">
        <v>72</v>
      </c>
      <c r="G93" s="9" t="str">
        <f>IF(Table1[[#This Row],[POHLAVI]]="M","Muž", "Žena")</f>
        <v>Žena</v>
      </c>
      <c r="H93" s="9">
        <v>92</v>
      </c>
      <c r="I93" s="9" t="s">
        <v>67</v>
      </c>
      <c r="J93" t="str">
        <f t="shared" si="1"/>
        <v>Leontýna Oravcová</v>
      </c>
    </row>
    <row r="94" spans="1:10" ht="14.4" x14ac:dyDescent="0.3">
      <c r="A94" s="9" t="s">
        <v>203</v>
      </c>
      <c r="B94" s="9" t="s">
        <v>307</v>
      </c>
      <c r="C94" s="9" t="s">
        <v>70</v>
      </c>
      <c r="D94" s="10">
        <v>38259</v>
      </c>
      <c r="E94" s="9" t="s">
        <v>308</v>
      </c>
      <c r="F94" s="9" t="s">
        <v>72</v>
      </c>
      <c r="G94" s="9" t="str">
        <f>IF(Table1[[#This Row],[POHLAVI]]="M","Muž", "Žena")</f>
        <v>Žena</v>
      </c>
      <c r="H94" s="9">
        <v>93</v>
      </c>
      <c r="I94" s="9" t="s">
        <v>67</v>
      </c>
      <c r="J94" t="str">
        <f t="shared" si="1"/>
        <v>Veronika Smolíková</v>
      </c>
    </row>
    <row r="95" spans="1:10" ht="14.4" x14ac:dyDescent="0.3">
      <c r="A95" s="9" t="s">
        <v>127</v>
      </c>
      <c r="B95" s="9" t="s">
        <v>309</v>
      </c>
      <c r="C95" s="9" t="s">
        <v>70</v>
      </c>
      <c r="D95" s="10">
        <v>38414</v>
      </c>
      <c r="E95" s="9" t="s">
        <v>310</v>
      </c>
      <c r="F95" s="9" t="s">
        <v>66</v>
      </c>
      <c r="G95" s="9" t="str">
        <f>IF(Table1[[#This Row],[POHLAVI]]="M","Muž", "Žena")</f>
        <v>Muž</v>
      </c>
      <c r="H95" s="9">
        <v>94</v>
      </c>
      <c r="I95" s="9" t="s">
        <v>67</v>
      </c>
      <c r="J95" t="str">
        <f t="shared" si="1"/>
        <v>Martin Stojar</v>
      </c>
    </row>
    <row r="96" spans="1:10" ht="14.4" x14ac:dyDescent="0.3">
      <c r="A96" s="9" t="s">
        <v>311</v>
      </c>
      <c r="B96" s="9" t="s">
        <v>312</v>
      </c>
      <c r="C96" s="9" t="s">
        <v>70</v>
      </c>
      <c r="D96" s="10">
        <v>38173</v>
      </c>
      <c r="E96" s="9" t="s">
        <v>313</v>
      </c>
      <c r="F96" s="9" t="s">
        <v>72</v>
      </c>
      <c r="G96" s="9" t="str">
        <f>IF(Table1[[#This Row],[POHLAVI]]="M","Muž", "Žena")</f>
        <v>Žena</v>
      </c>
      <c r="H96" s="9">
        <v>95</v>
      </c>
      <c r="I96" s="9" t="s">
        <v>67</v>
      </c>
      <c r="J96" t="str">
        <f t="shared" si="1"/>
        <v>Nikola Šebková</v>
      </c>
    </row>
    <row r="97" spans="1:10" ht="14.4" x14ac:dyDescent="0.3">
      <c r="A97" s="9" t="s">
        <v>314</v>
      </c>
      <c r="B97" s="9" t="s">
        <v>315</v>
      </c>
      <c r="C97" s="9" t="s">
        <v>70</v>
      </c>
      <c r="D97" s="10">
        <v>38146</v>
      </c>
      <c r="E97" s="9" t="s">
        <v>316</v>
      </c>
      <c r="F97" s="9" t="s">
        <v>72</v>
      </c>
      <c r="G97" s="9" t="str">
        <f>IF(Table1[[#This Row],[POHLAVI]]="M","Muž", "Žena")</f>
        <v>Žena</v>
      </c>
      <c r="H97" s="9">
        <v>96</v>
      </c>
      <c r="I97" s="9" t="s">
        <v>67</v>
      </c>
      <c r="J97" t="str">
        <f t="shared" si="1"/>
        <v>Helena Šenkeříková</v>
      </c>
    </row>
    <row r="98" spans="1:10" ht="14.4" x14ac:dyDescent="0.3">
      <c r="A98" s="9" t="s">
        <v>97</v>
      </c>
      <c r="B98" s="9" t="s">
        <v>315</v>
      </c>
      <c r="C98" s="9" t="s">
        <v>70</v>
      </c>
      <c r="D98" s="10">
        <v>38479</v>
      </c>
      <c r="E98" s="9" t="s">
        <v>317</v>
      </c>
      <c r="F98" s="9" t="s">
        <v>72</v>
      </c>
      <c r="G98" s="9" t="str">
        <f>IF(Table1[[#This Row],[POHLAVI]]="M","Muž", "Žena")</f>
        <v>Žena</v>
      </c>
      <c r="H98" s="9">
        <v>97</v>
      </c>
      <c r="I98" s="9" t="s">
        <v>67</v>
      </c>
      <c r="J98" t="str">
        <f t="shared" si="1"/>
        <v>Michaela Šenkeříková</v>
      </c>
    </row>
    <row r="99" spans="1:10" ht="14.4" x14ac:dyDescent="0.3">
      <c r="A99" s="9" t="s">
        <v>318</v>
      </c>
      <c r="B99" s="9" t="s">
        <v>319</v>
      </c>
      <c r="C99" s="9" t="s">
        <v>70</v>
      </c>
      <c r="D99" s="10">
        <v>38564</v>
      </c>
      <c r="E99" s="9" t="s">
        <v>320</v>
      </c>
      <c r="F99" s="9" t="s">
        <v>72</v>
      </c>
      <c r="G99" s="9" t="str">
        <f>IF(Table1[[#This Row],[POHLAVI]]="M","Muž", "Žena")</f>
        <v>Žena</v>
      </c>
      <c r="H99" s="9">
        <v>98</v>
      </c>
      <c r="I99" s="9" t="s">
        <v>67</v>
      </c>
      <c r="J99" t="str">
        <f t="shared" si="1"/>
        <v>Hana Štrofová</v>
      </c>
    </row>
    <row r="100" spans="1:10" ht="14.4" x14ac:dyDescent="0.3">
      <c r="A100" s="9" t="s">
        <v>321</v>
      </c>
      <c r="B100" s="9" t="s">
        <v>322</v>
      </c>
      <c r="C100" s="9" t="s">
        <v>70</v>
      </c>
      <c r="D100" s="10">
        <v>38428</v>
      </c>
      <c r="E100" s="9" t="s">
        <v>323</v>
      </c>
      <c r="F100" s="9" t="s">
        <v>72</v>
      </c>
      <c r="G100" s="9" t="str">
        <f>IF(Table1[[#This Row],[POHLAVI]]="M","Muž", "Žena")</f>
        <v>Žena</v>
      </c>
      <c r="H100" s="9">
        <v>99</v>
      </c>
      <c r="I100" s="9" t="s">
        <v>67</v>
      </c>
      <c r="J100" t="str">
        <f t="shared" si="1"/>
        <v>Denisa Vodičková</v>
      </c>
    </row>
    <row r="101" spans="1:10" ht="14.4" x14ac:dyDescent="0.3">
      <c r="A101" s="9" t="s">
        <v>159</v>
      </c>
      <c r="B101" s="9" t="s">
        <v>324</v>
      </c>
      <c r="C101" s="9" t="s">
        <v>70</v>
      </c>
      <c r="D101" s="10">
        <v>37997</v>
      </c>
      <c r="E101" s="9" t="s">
        <v>325</v>
      </c>
      <c r="F101" s="9" t="s">
        <v>66</v>
      </c>
      <c r="G101" s="9" t="str">
        <f>IF(Table1[[#This Row],[POHLAVI]]="M","Muž", "Žena")</f>
        <v>Muž</v>
      </c>
      <c r="H101" s="9">
        <v>100</v>
      </c>
      <c r="I101" s="9" t="s">
        <v>67</v>
      </c>
      <c r="J101" t="str">
        <f t="shared" si="1"/>
        <v>Václav Brož</v>
      </c>
    </row>
    <row r="102" spans="1:10" ht="14.4" x14ac:dyDescent="0.3">
      <c r="A102" s="9" t="s">
        <v>86</v>
      </c>
      <c r="B102" s="9" t="s">
        <v>326</v>
      </c>
      <c r="C102" s="9" t="s">
        <v>70</v>
      </c>
      <c r="D102" s="10">
        <v>38261</v>
      </c>
      <c r="E102" s="9" t="s">
        <v>327</v>
      </c>
      <c r="F102" s="9" t="s">
        <v>66</v>
      </c>
      <c r="G102" s="9" t="str">
        <f>IF(Table1[[#This Row],[POHLAVI]]="M","Muž", "Žena")</f>
        <v>Muž</v>
      </c>
      <c r="H102" s="9">
        <v>101</v>
      </c>
      <c r="I102" s="9" t="s">
        <v>67</v>
      </c>
      <c r="J102" t="str">
        <f t="shared" si="1"/>
        <v>Matěj Jícha</v>
      </c>
    </row>
    <row r="103" spans="1:10" ht="14.4" x14ac:dyDescent="0.3">
      <c r="A103" s="9" t="s">
        <v>311</v>
      </c>
      <c r="B103" s="9" t="s">
        <v>328</v>
      </c>
      <c r="C103" s="9" t="s">
        <v>70</v>
      </c>
      <c r="D103" s="10">
        <v>38625</v>
      </c>
      <c r="E103" s="9" t="s">
        <v>329</v>
      </c>
      <c r="F103" s="9" t="s">
        <v>72</v>
      </c>
      <c r="G103" s="9" t="str">
        <f>IF(Table1[[#This Row],[POHLAVI]]="M","Muž", "Žena")</f>
        <v>Žena</v>
      </c>
      <c r="H103" s="9">
        <v>102</v>
      </c>
      <c r="I103" s="9" t="s">
        <v>67</v>
      </c>
      <c r="J103" t="str">
        <f t="shared" si="1"/>
        <v>Nikola Šimková</v>
      </c>
    </row>
    <row r="104" spans="1:10" ht="14.4" x14ac:dyDescent="0.3">
      <c r="A104" s="9" t="s">
        <v>330</v>
      </c>
      <c r="B104" s="9" t="s">
        <v>331</v>
      </c>
      <c r="C104" s="9" t="s">
        <v>70</v>
      </c>
      <c r="D104" s="10">
        <v>38351</v>
      </c>
      <c r="E104" s="9" t="s">
        <v>332</v>
      </c>
      <c r="F104" s="9" t="s">
        <v>66</v>
      </c>
      <c r="G104" s="9" t="str">
        <f>IF(Table1[[#This Row],[POHLAVI]]="M","Muž", "Žena")</f>
        <v>Muž</v>
      </c>
      <c r="H104" s="9">
        <v>103</v>
      </c>
      <c r="I104" s="9" t="s">
        <v>67</v>
      </c>
      <c r="J104" t="str">
        <f t="shared" si="1"/>
        <v>Jeroným Tecl</v>
      </c>
    </row>
    <row r="105" spans="1:10" ht="14.4" x14ac:dyDescent="0.3">
      <c r="A105" s="9" t="s">
        <v>156</v>
      </c>
      <c r="B105" s="9" t="s">
        <v>333</v>
      </c>
      <c r="C105" s="9" t="s">
        <v>70</v>
      </c>
      <c r="D105" s="10">
        <v>38358</v>
      </c>
      <c r="E105" s="9" t="s">
        <v>334</v>
      </c>
      <c r="F105" s="9" t="s">
        <v>66</v>
      </c>
      <c r="G105" s="9" t="str">
        <f>IF(Table1[[#This Row],[POHLAVI]]="M","Muž", "Žena")</f>
        <v>Muž</v>
      </c>
      <c r="H105" s="9">
        <v>104</v>
      </c>
      <c r="I105" s="9" t="s">
        <v>67</v>
      </c>
      <c r="J105" t="str">
        <f t="shared" si="1"/>
        <v>Richard Bílý</v>
      </c>
    </row>
    <row r="106" spans="1:10" ht="14.4" x14ac:dyDescent="0.3">
      <c r="A106" s="9" t="s">
        <v>278</v>
      </c>
      <c r="B106" s="9" t="s">
        <v>335</v>
      </c>
      <c r="C106" s="9" t="s">
        <v>70</v>
      </c>
      <c r="D106" s="10">
        <v>38445</v>
      </c>
      <c r="E106" s="9" t="s">
        <v>336</v>
      </c>
      <c r="F106" s="9" t="s">
        <v>66</v>
      </c>
      <c r="G106" s="9" t="str">
        <f>IF(Table1[[#This Row],[POHLAVI]]="M","Muž", "Žena")</f>
        <v>Muž</v>
      </c>
      <c r="H106" s="9">
        <v>105</v>
      </c>
      <c r="I106" s="9" t="s">
        <v>67</v>
      </c>
      <c r="J106" t="str">
        <f t="shared" si="1"/>
        <v>Jiří Bukáček</v>
      </c>
    </row>
    <row r="107" spans="1:10" ht="14.4" x14ac:dyDescent="0.3">
      <c r="A107" s="9" t="s">
        <v>118</v>
      </c>
      <c r="B107" s="9" t="s">
        <v>337</v>
      </c>
      <c r="C107" s="9" t="s">
        <v>70</v>
      </c>
      <c r="D107" s="10">
        <v>38328</v>
      </c>
      <c r="E107" s="9" t="s">
        <v>338</v>
      </c>
      <c r="F107" s="9" t="s">
        <v>72</v>
      </c>
      <c r="G107" s="9" t="str">
        <f>IF(Table1[[#This Row],[POHLAVI]]="M","Muž", "Žena")</f>
        <v>Žena</v>
      </c>
      <c r="H107" s="9">
        <v>106</v>
      </c>
      <c r="I107" s="9" t="s">
        <v>67</v>
      </c>
      <c r="J107" t="str">
        <f t="shared" si="1"/>
        <v>Eliška Cihlářová</v>
      </c>
    </row>
    <row r="108" spans="1:10" ht="14.4" x14ac:dyDescent="0.3">
      <c r="A108" s="9" t="s">
        <v>339</v>
      </c>
      <c r="B108" s="9" t="s">
        <v>340</v>
      </c>
      <c r="C108" s="9" t="s">
        <v>70</v>
      </c>
      <c r="D108" s="10">
        <v>38041</v>
      </c>
      <c r="E108" s="9" t="s">
        <v>341</v>
      </c>
      <c r="F108" s="9" t="s">
        <v>72</v>
      </c>
      <c r="G108" s="9" t="str">
        <f>IF(Table1[[#This Row],[POHLAVI]]="M","Muž", "Žena")</f>
        <v>Žena</v>
      </c>
      <c r="H108" s="9">
        <v>107</v>
      </c>
      <c r="I108" s="9" t="s">
        <v>67</v>
      </c>
      <c r="J108" t="str">
        <f t="shared" si="1"/>
        <v>Vendula Cíchová</v>
      </c>
    </row>
    <row r="109" spans="1:10" ht="14.4" x14ac:dyDescent="0.3">
      <c r="A109" s="9" t="s">
        <v>342</v>
      </c>
      <c r="B109" s="9" t="s">
        <v>343</v>
      </c>
      <c r="C109" s="9" t="s">
        <v>70</v>
      </c>
      <c r="D109" s="10">
        <v>38332</v>
      </c>
      <c r="E109" s="9" t="s">
        <v>344</v>
      </c>
      <c r="F109" s="9" t="s">
        <v>72</v>
      </c>
      <c r="G109" s="9" t="str">
        <f>IF(Table1[[#This Row],[POHLAVI]]="M","Muž", "Žena")</f>
        <v>Žena</v>
      </c>
      <c r="H109" s="9">
        <v>108</v>
      </c>
      <c r="I109" s="9" t="s">
        <v>67</v>
      </c>
      <c r="J109" t="str">
        <f t="shared" si="1"/>
        <v>Magda Dvořáková</v>
      </c>
    </row>
    <row r="110" spans="1:10" ht="14.4" x14ac:dyDescent="0.3">
      <c r="A110" s="9" t="s">
        <v>255</v>
      </c>
      <c r="B110" s="9" t="s">
        <v>217</v>
      </c>
      <c r="C110" s="9" t="s">
        <v>70</v>
      </c>
      <c r="D110" s="10">
        <v>37723</v>
      </c>
      <c r="E110" s="9" t="s">
        <v>345</v>
      </c>
      <c r="F110" s="9" t="s">
        <v>72</v>
      </c>
      <c r="G110" s="9" t="str">
        <f>IF(Table1[[#This Row],[POHLAVI]]="M","Muž", "Žena")</f>
        <v>Žena</v>
      </c>
      <c r="H110" s="9">
        <v>109</v>
      </c>
      <c r="I110" s="9" t="s">
        <v>67</v>
      </c>
      <c r="J110" t="str">
        <f t="shared" si="1"/>
        <v>Aneta Harvánková</v>
      </c>
    </row>
    <row r="111" spans="1:10" ht="14.4" x14ac:dyDescent="0.3">
      <c r="A111" s="9" t="s">
        <v>346</v>
      </c>
      <c r="B111" s="9" t="s">
        <v>347</v>
      </c>
      <c r="C111" s="9" t="s">
        <v>70</v>
      </c>
      <c r="D111" s="10">
        <v>37856</v>
      </c>
      <c r="E111" s="9" t="s">
        <v>348</v>
      </c>
      <c r="F111" s="9" t="s">
        <v>72</v>
      </c>
      <c r="G111" s="9" t="str">
        <f>IF(Table1[[#This Row],[POHLAVI]]="M","Muž", "Žena")</f>
        <v>Žena</v>
      </c>
      <c r="H111" s="9">
        <v>110</v>
      </c>
      <c r="I111" s="9" t="s">
        <v>67</v>
      </c>
      <c r="J111" t="str">
        <f t="shared" si="1"/>
        <v>Jolana Hradilová</v>
      </c>
    </row>
    <row r="112" spans="1:10" ht="14.4" x14ac:dyDescent="0.3">
      <c r="A112" s="9" t="s">
        <v>349</v>
      </c>
      <c r="B112" s="9" t="s">
        <v>350</v>
      </c>
      <c r="C112" s="9" t="s">
        <v>70</v>
      </c>
      <c r="D112" s="10">
        <v>37661</v>
      </c>
      <c r="E112" s="9" t="s">
        <v>351</v>
      </c>
      <c r="F112" s="9" t="s">
        <v>66</v>
      </c>
      <c r="G112" s="9" t="str">
        <f>IF(Table1[[#This Row],[POHLAVI]]="M","Muž", "Žena")</f>
        <v>Muž</v>
      </c>
      <c r="H112" s="9">
        <v>111</v>
      </c>
      <c r="I112" s="9" t="s">
        <v>67</v>
      </c>
      <c r="J112" t="str">
        <f t="shared" si="1"/>
        <v>Simon Hrubec</v>
      </c>
    </row>
    <row r="113" spans="1:10" ht="14.4" x14ac:dyDescent="0.3">
      <c r="A113" s="9" t="s">
        <v>127</v>
      </c>
      <c r="B113" s="9" t="s">
        <v>352</v>
      </c>
      <c r="C113" s="9" t="s">
        <v>70</v>
      </c>
      <c r="D113" s="10">
        <v>38127</v>
      </c>
      <c r="E113" s="9" t="s">
        <v>353</v>
      </c>
      <c r="F113" s="9" t="s">
        <v>66</v>
      </c>
      <c r="G113" s="9" t="str">
        <f>IF(Table1[[#This Row],[POHLAVI]]="M","Muž", "Žena")</f>
        <v>Muž</v>
      </c>
      <c r="H113" s="9">
        <v>112</v>
      </c>
      <c r="I113" s="9" t="s">
        <v>80</v>
      </c>
      <c r="J113" t="str">
        <f t="shared" si="1"/>
        <v>Martin Charvát</v>
      </c>
    </row>
    <row r="114" spans="1:10" ht="14.4" x14ac:dyDescent="0.3">
      <c r="A114" s="9" t="s">
        <v>354</v>
      </c>
      <c r="B114" s="9" t="s">
        <v>355</v>
      </c>
      <c r="C114" s="9" t="s">
        <v>70</v>
      </c>
      <c r="D114" s="10">
        <v>38055</v>
      </c>
      <c r="E114" s="9" t="s">
        <v>356</v>
      </c>
      <c r="F114" s="9" t="s">
        <v>66</v>
      </c>
      <c r="G114" s="9" t="str">
        <f>IF(Table1[[#This Row],[POHLAVI]]="M","Muž", "Žena")</f>
        <v>Muž</v>
      </c>
      <c r="H114" s="9">
        <v>113</v>
      </c>
      <c r="I114" s="9" t="s">
        <v>67</v>
      </c>
      <c r="J114" t="str">
        <f t="shared" si="1"/>
        <v>Šimon Jurda</v>
      </c>
    </row>
    <row r="115" spans="1:10" ht="14.4" x14ac:dyDescent="0.3">
      <c r="A115" s="9" t="s">
        <v>357</v>
      </c>
      <c r="B115" s="9" t="s">
        <v>358</v>
      </c>
      <c r="C115" s="9" t="s">
        <v>70</v>
      </c>
      <c r="D115" s="10">
        <v>37881</v>
      </c>
      <c r="E115" s="9" t="s">
        <v>359</v>
      </c>
      <c r="F115" s="9" t="s">
        <v>72</v>
      </c>
      <c r="G115" s="9" t="str">
        <f>IF(Table1[[#This Row],[POHLAVI]]="M","Muž", "Žena")</f>
        <v>Žena</v>
      </c>
      <c r="H115" s="9">
        <v>114</v>
      </c>
      <c r="I115" s="9" t="s">
        <v>67</v>
      </c>
      <c r="J115" t="str">
        <f t="shared" si="1"/>
        <v>Nicol Jurková</v>
      </c>
    </row>
    <row r="116" spans="1:10" ht="14.4" x14ac:dyDescent="0.3">
      <c r="A116" s="9" t="s">
        <v>360</v>
      </c>
      <c r="B116" s="9" t="s">
        <v>361</v>
      </c>
      <c r="C116" s="9" t="s">
        <v>70</v>
      </c>
      <c r="D116" s="10">
        <v>38167</v>
      </c>
      <c r="E116" s="9" t="s">
        <v>362</v>
      </c>
      <c r="F116" s="9" t="s">
        <v>66</v>
      </c>
      <c r="G116" s="9" t="str">
        <f>IF(Table1[[#This Row],[POHLAVI]]="M","Muž", "Žena")</f>
        <v>Muž</v>
      </c>
      <c r="H116" s="9">
        <v>115</v>
      </c>
      <c r="I116" s="9" t="s">
        <v>67</v>
      </c>
      <c r="J116" t="str">
        <f t="shared" si="1"/>
        <v>Jindřich Kaštánek</v>
      </c>
    </row>
    <row r="117" spans="1:10" ht="14.4" x14ac:dyDescent="0.3">
      <c r="A117" s="9" t="s">
        <v>62</v>
      </c>
      <c r="B117" s="9" t="s">
        <v>95</v>
      </c>
      <c r="C117" s="9" t="s">
        <v>70</v>
      </c>
      <c r="D117" s="10">
        <v>38216</v>
      </c>
      <c r="E117" s="9" t="s">
        <v>363</v>
      </c>
      <c r="F117" s="9" t="s">
        <v>66</v>
      </c>
      <c r="G117" s="9" t="str">
        <f>IF(Table1[[#This Row],[POHLAVI]]="M","Muž", "Žena")</f>
        <v>Muž</v>
      </c>
      <c r="H117" s="9">
        <v>116</v>
      </c>
      <c r="I117" s="9" t="s">
        <v>67</v>
      </c>
      <c r="J117" t="str">
        <f t="shared" si="1"/>
        <v>Radim Lempera</v>
      </c>
    </row>
    <row r="118" spans="1:10" ht="14.4" x14ac:dyDescent="0.3">
      <c r="A118" s="9" t="s">
        <v>364</v>
      </c>
      <c r="B118" s="9" t="s">
        <v>365</v>
      </c>
      <c r="C118" s="9" t="s">
        <v>70</v>
      </c>
      <c r="D118" s="10">
        <v>38082</v>
      </c>
      <c r="E118" s="9" t="s">
        <v>366</v>
      </c>
      <c r="F118" s="9" t="s">
        <v>72</v>
      </c>
      <c r="G118" s="9" t="str">
        <f>IF(Table1[[#This Row],[POHLAVI]]="M","Muž", "Žena")</f>
        <v>Žena</v>
      </c>
      <c r="H118" s="9">
        <v>117</v>
      </c>
      <c r="I118" s="9" t="s">
        <v>67</v>
      </c>
      <c r="J118" t="str">
        <f t="shared" si="1"/>
        <v>Simona Lemperová</v>
      </c>
    </row>
    <row r="119" spans="1:10" ht="14.4" x14ac:dyDescent="0.3">
      <c r="A119" s="9" t="s">
        <v>367</v>
      </c>
      <c r="B119" s="9" t="s">
        <v>368</v>
      </c>
      <c r="C119" s="9" t="s">
        <v>70</v>
      </c>
      <c r="D119" s="10">
        <v>38142</v>
      </c>
      <c r="E119" s="9" t="s">
        <v>369</v>
      </c>
      <c r="F119" s="9" t="s">
        <v>72</v>
      </c>
      <c r="G119" s="9" t="str">
        <f>IF(Table1[[#This Row],[POHLAVI]]="M","Muž", "Žena")</f>
        <v>Žena</v>
      </c>
      <c r="H119" s="9">
        <v>118</v>
      </c>
      <c r="I119" s="9" t="s">
        <v>67</v>
      </c>
      <c r="J119" t="str">
        <f t="shared" si="1"/>
        <v>Karla Mužátková</v>
      </c>
    </row>
    <row r="120" spans="1:10" ht="14.4" x14ac:dyDescent="0.3">
      <c r="A120" s="9" t="s">
        <v>370</v>
      </c>
      <c r="B120" s="9" t="s">
        <v>371</v>
      </c>
      <c r="C120" s="9" t="s">
        <v>70</v>
      </c>
      <c r="D120" s="10">
        <v>38183</v>
      </c>
      <c r="E120" s="9" t="s">
        <v>372</v>
      </c>
      <c r="F120" s="9" t="s">
        <v>72</v>
      </c>
      <c r="G120" s="9" t="str">
        <f>IF(Table1[[#This Row],[POHLAVI]]="M","Muž", "Žena")</f>
        <v>Žena</v>
      </c>
      <c r="H120" s="9">
        <v>119</v>
      </c>
      <c r="I120" s="9" t="s">
        <v>67</v>
      </c>
      <c r="J120" t="str">
        <f t="shared" si="1"/>
        <v>Gabriela Puškášová</v>
      </c>
    </row>
    <row r="121" spans="1:10" ht="14.4" x14ac:dyDescent="0.3">
      <c r="A121" s="9" t="s">
        <v>97</v>
      </c>
      <c r="B121" s="9" t="s">
        <v>373</v>
      </c>
      <c r="C121" s="9" t="s">
        <v>374</v>
      </c>
      <c r="D121" s="10">
        <v>37873</v>
      </c>
      <c r="E121" s="9" t="s">
        <v>375</v>
      </c>
      <c r="F121" s="9" t="s">
        <v>72</v>
      </c>
      <c r="G121" s="9" t="str">
        <f>IF(Table1[[#This Row],[POHLAVI]]="M","Muž", "Žena")</f>
        <v>Žena</v>
      </c>
      <c r="H121" s="9">
        <v>120</v>
      </c>
      <c r="I121" s="9" t="s">
        <v>67</v>
      </c>
      <c r="J121" t="str">
        <f t="shared" si="1"/>
        <v>Michaela Rapcsáková</v>
      </c>
    </row>
    <row r="122" spans="1:10" ht="14.4" x14ac:dyDescent="0.3">
      <c r="A122" s="9" t="s">
        <v>236</v>
      </c>
      <c r="B122" s="9" t="s">
        <v>376</v>
      </c>
      <c r="C122" s="9" t="s">
        <v>70</v>
      </c>
      <c r="D122" s="10">
        <v>37891</v>
      </c>
      <c r="E122" s="9" t="s">
        <v>377</v>
      </c>
      <c r="F122" s="9" t="s">
        <v>66</v>
      </c>
      <c r="G122" s="9" t="str">
        <f>IF(Table1[[#This Row],[POHLAVI]]="M","Muž", "Žena")</f>
        <v>Muž</v>
      </c>
      <c r="H122" s="9">
        <v>121</v>
      </c>
      <c r="I122" s="9" t="s">
        <v>117</v>
      </c>
      <c r="J122" t="str">
        <f t="shared" si="1"/>
        <v>Jaroslav Starý</v>
      </c>
    </row>
    <row r="123" spans="1:10" ht="14.4" x14ac:dyDescent="0.3">
      <c r="A123" s="9" t="s">
        <v>378</v>
      </c>
      <c r="B123" s="9" t="s">
        <v>379</v>
      </c>
      <c r="C123" s="9" t="s">
        <v>70</v>
      </c>
      <c r="D123" s="10">
        <v>38167</v>
      </c>
      <c r="E123" s="9" t="s">
        <v>380</v>
      </c>
      <c r="F123" s="9" t="s">
        <v>72</v>
      </c>
      <c r="G123" s="9" t="str">
        <f>IF(Table1[[#This Row],[POHLAVI]]="M","Muž", "Žena")</f>
        <v>Žena</v>
      </c>
      <c r="H123" s="9">
        <v>122</v>
      </c>
      <c r="I123" s="9" t="s">
        <v>67</v>
      </c>
      <c r="J123" t="str">
        <f t="shared" si="1"/>
        <v>Adriana Zábršová</v>
      </c>
    </row>
    <row r="124" spans="1:10" ht="14.4" x14ac:dyDescent="0.3">
      <c r="A124" s="9" t="s">
        <v>381</v>
      </c>
      <c r="B124" s="9" t="s">
        <v>379</v>
      </c>
      <c r="C124" s="9" t="s">
        <v>70</v>
      </c>
      <c r="D124" s="10">
        <v>38227</v>
      </c>
      <c r="E124" s="9" t="s">
        <v>382</v>
      </c>
      <c r="F124" s="9" t="s">
        <v>72</v>
      </c>
      <c r="G124" s="9" t="str">
        <f>IF(Table1[[#This Row],[POHLAVI]]="M","Muž", "Žena")</f>
        <v>Žena</v>
      </c>
      <c r="H124" s="9">
        <v>123</v>
      </c>
      <c r="I124" s="9" t="s">
        <v>67</v>
      </c>
      <c r="J124" t="str">
        <f t="shared" si="1"/>
        <v>Dominika Zábršová</v>
      </c>
    </row>
    <row r="125" spans="1:10" ht="14.4" x14ac:dyDescent="0.3">
      <c r="A125" s="9" t="s">
        <v>383</v>
      </c>
      <c r="B125" s="9" t="s">
        <v>384</v>
      </c>
      <c r="C125" s="9" t="s">
        <v>70</v>
      </c>
      <c r="D125" s="10">
        <v>38048</v>
      </c>
      <c r="E125" s="9" t="s">
        <v>385</v>
      </c>
      <c r="F125" s="9" t="s">
        <v>66</v>
      </c>
      <c r="G125" s="9" t="str">
        <f>IF(Table1[[#This Row],[POHLAVI]]="M","Muž", "Žena")</f>
        <v>Muž</v>
      </c>
      <c r="H125" s="9">
        <v>124</v>
      </c>
      <c r="I125" s="9" t="s">
        <v>67</v>
      </c>
      <c r="J125" t="str">
        <f t="shared" si="1"/>
        <v>Ladislav Žák</v>
      </c>
    </row>
    <row r="126" spans="1:10" ht="14.4" x14ac:dyDescent="0.3">
      <c r="A126" s="9" t="s">
        <v>386</v>
      </c>
      <c r="B126" s="9" t="s">
        <v>387</v>
      </c>
      <c r="C126" s="9" t="s">
        <v>70</v>
      </c>
      <c r="D126" s="10">
        <v>38076</v>
      </c>
      <c r="E126" s="9" t="s">
        <v>388</v>
      </c>
      <c r="F126" s="9" t="s">
        <v>66</v>
      </c>
      <c r="G126" s="9" t="str">
        <f>IF(Table1[[#This Row],[POHLAVI]]="M","Muž", "Žena")</f>
        <v>Muž</v>
      </c>
      <c r="H126" s="9">
        <v>125</v>
      </c>
      <c r="I126" s="9" t="s">
        <v>67</v>
      </c>
      <c r="J126" t="str">
        <f t="shared" si="1"/>
        <v>Michal Ženčúch</v>
      </c>
    </row>
    <row r="127" spans="1:10" ht="14.4" x14ac:dyDescent="0.3">
      <c r="A127" s="9" t="s">
        <v>278</v>
      </c>
      <c r="B127" s="9" t="s">
        <v>267</v>
      </c>
      <c r="C127" s="9" t="s">
        <v>70</v>
      </c>
      <c r="D127" s="10">
        <v>38125</v>
      </c>
      <c r="E127" s="9" t="s">
        <v>389</v>
      </c>
      <c r="F127" s="9" t="s">
        <v>66</v>
      </c>
      <c r="G127" s="9" t="str">
        <f>IF(Table1[[#This Row],[POHLAVI]]="M","Muž", "Žena")</f>
        <v>Muž</v>
      </c>
      <c r="H127" s="9">
        <v>126</v>
      </c>
      <c r="I127" s="9" t="s">
        <v>67</v>
      </c>
      <c r="J127" t="str">
        <f t="shared" si="1"/>
        <v>Jiří Bednář</v>
      </c>
    </row>
    <row r="128" spans="1:10" ht="14.4" x14ac:dyDescent="0.3">
      <c r="A128" s="9" t="s">
        <v>211</v>
      </c>
      <c r="B128" s="9" t="s">
        <v>390</v>
      </c>
      <c r="C128" s="9" t="s">
        <v>70</v>
      </c>
      <c r="D128" s="10">
        <v>38036</v>
      </c>
      <c r="E128" s="9" t="s">
        <v>391</v>
      </c>
      <c r="F128" s="9" t="s">
        <v>72</v>
      </c>
      <c r="G128" s="9" t="str">
        <f>IF(Table1[[#This Row],[POHLAVI]]="M","Muž", "Žena")</f>
        <v>Žena</v>
      </c>
      <c r="H128" s="9">
        <v>127</v>
      </c>
      <c r="I128" s="9" t="s">
        <v>67</v>
      </c>
      <c r="J128" t="str">
        <f t="shared" si="1"/>
        <v>Valerie Budíková</v>
      </c>
    </row>
    <row r="129" spans="1:10" ht="14.4" x14ac:dyDescent="0.3">
      <c r="A129" s="9" t="s">
        <v>124</v>
      </c>
      <c r="B129" s="9" t="s">
        <v>392</v>
      </c>
      <c r="C129" s="9" t="s">
        <v>70</v>
      </c>
      <c r="D129" s="10">
        <v>38036</v>
      </c>
      <c r="E129" s="9" t="s">
        <v>393</v>
      </c>
      <c r="F129" s="9" t="s">
        <v>66</v>
      </c>
      <c r="G129" s="9" t="str">
        <f>IF(Table1[[#This Row],[POHLAVI]]="M","Muž", "Žena")</f>
        <v>Muž</v>
      </c>
      <c r="H129" s="9">
        <v>128</v>
      </c>
      <c r="I129" s="9" t="s">
        <v>67</v>
      </c>
      <c r="J129" t="str">
        <f t="shared" si="1"/>
        <v>Michael Černý</v>
      </c>
    </row>
    <row r="130" spans="1:10" ht="14.4" x14ac:dyDescent="0.3">
      <c r="A130" s="9" t="s">
        <v>354</v>
      </c>
      <c r="B130" s="9" t="s">
        <v>63</v>
      </c>
      <c r="C130" s="9" t="s">
        <v>70</v>
      </c>
      <c r="D130" s="10">
        <v>37833</v>
      </c>
      <c r="E130" s="9" t="s">
        <v>394</v>
      </c>
      <c r="F130" s="9" t="s">
        <v>66</v>
      </c>
      <c r="G130" s="9" t="str">
        <f>IF(Table1[[#This Row],[POHLAVI]]="M","Muž", "Žena")</f>
        <v>Muž</v>
      </c>
      <c r="H130" s="9">
        <v>129</v>
      </c>
      <c r="I130" s="9" t="s">
        <v>80</v>
      </c>
      <c r="J130" t="str">
        <f t="shared" si="1"/>
        <v>Šimon Dufek</v>
      </c>
    </row>
    <row r="131" spans="1:10" ht="14.4" x14ac:dyDescent="0.3">
      <c r="A131" s="9" t="s">
        <v>111</v>
      </c>
      <c r="B131" s="9" t="s">
        <v>395</v>
      </c>
      <c r="C131" s="9" t="s">
        <v>70</v>
      </c>
      <c r="D131" s="10">
        <v>37878</v>
      </c>
      <c r="E131" s="9" t="s">
        <v>396</v>
      </c>
      <c r="F131" s="9" t="s">
        <v>66</v>
      </c>
      <c r="G131" s="9" t="str">
        <f>IF(Table1[[#This Row],[POHLAVI]]="M","Muž", "Žena")</f>
        <v>Muž</v>
      </c>
      <c r="H131" s="9">
        <v>130</v>
      </c>
      <c r="I131" s="9" t="s">
        <v>67</v>
      </c>
      <c r="J131" t="str">
        <f t="shared" ref="J131:J194" si="2">_xlfn.TEXTJOIN(" ",1,$A131:$B131)</f>
        <v>Adam Hanych</v>
      </c>
    </row>
    <row r="132" spans="1:10" ht="14.4" x14ac:dyDescent="0.3">
      <c r="A132" s="9" t="s">
        <v>103</v>
      </c>
      <c r="B132" s="9" t="s">
        <v>395</v>
      </c>
      <c r="C132" s="9" t="s">
        <v>70</v>
      </c>
      <c r="D132" s="10">
        <v>37847</v>
      </c>
      <c r="E132" s="9" t="s">
        <v>397</v>
      </c>
      <c r="F132" s="9" t="s">
        <v>66</v>
      </c>
      <c r="G132" s="9" t="str">
        <f>IF(Table1[[#This Row],[POHLAVI]]="M","Muž", "Žena")</f>
        <v>Muž</v>
      </c>
      <c r="H132" s="9">
        <v>131</v>
      </c>
      <c r="I132" s="9" t="s">
        <v>67</v>
      </c>
      <c r="J132" t="str">
        <f t="shared" si="2"/>
        <v>Jakub Hanych</v>
      </c>
    </row>
    <row r="133" spans="1:10" ht="14.4" x14ac:dyDescent="0.3">
      <c r="A133" s="9" t="s">
        <v>346</v>
      </c>
      <c r="B133" s="9" t="s">
        <v>284</v>
      </c>
      <c r="C133" s="9" t="s">
        <v>229</v>
      </c>
      <c r="D133" s="10">
        <v>38034</v>
      </c>
      <c r="E133" s="9" t="s">
        <v>398</v>
      </c>
      <c r="F133" s="9" t="s">
        <v>72</v>
      </c>
      <c r="G133" s="9" t="str">
        <f>IF(Table1[[#This Row],[POHLAVI]]="M","Muž", "Žena")</f>
        <v>Žena</v>
      </c>
      <c r="H133" s="9">
        <v>132</v>
      </c>
      <c r="I133" s="9" t="s">
        <v>67</v>
      </c>
      <c r="J133" t="str">
        <f t="shared" si="2"/>
        <v>Jolana Horváthová</v>
      </c>
    </row>
    <row r="134" spans="1:10" ht="14.4" x14ac:dyDescent="0.3">
      <c r="A134" s="9" t="s">
        <v>114</v>
      </c>
      <c r="B134" s="9" t="s">
        <v>399</v>
      </c>
      <c r="C134" s="9" t="s">
        <v>229</v>
      </c>
      <c r="D134" s="10">
        <v>38067</v>
      </c>
      <c r="E134" s="9" t="s">
        <v>400</v>
      </c>
      <c r="F134" s="9" t="s">
        <v>66</v>
      </c>
      <c r="G134" s="9" t="str">
        <f>IF(Table1[[#This Row],[POHLAVI]]="M","Muž", "Žena")</f>
        <v>Muž</v>
      </c>
      <c r="H134" s="9">
        <v>133</v>
      </c>
      <c r="I134" s="9" t="s">
        <v>67</v>
      </c>
      <c r="J134" t="str">
        <f t="shared" si="2"/>
        <v>David Houser</v>
      </c>
    </row>
    <row r="135" spans="1:10" ht="14.4" x14ac:dyDescent="0.3">
      <c r="A135" s="9" t="s">
        <v>94</v>
      </c>
      <c r="B135" s="9" t="s">
        <v>401</v>
      </c>
      <c r="C135" s="9" t="s">
        <v>70</v>
      </c>
      <c r="D135" s="10">
        <v>38045</v>
      </c>
      <c r="E135" s="9" t="s">
        <v>402</v>
      </c>
      <c r="F135" s="9" t="s">
        <v>66</v>
      </c>
      <c r="G135" s="9" t="str">
        <f>IF(Table1[[#This Row],[POHLAVI]]="M","Muž", "Žena")</f>
        <v>Muž</v>
      </c>
      <c r="H135" s="9">
        <v>134</v>
      </c>
      <c r="I135" s="9" t="s">
        <v>67</v>
      </c>
      <c r="J135" t="str">
        <f t="shared" si="2"/>
        <v>Lukáš Hudeček</v>
      </c>
    </row>
    <row r="136" spans="1:10" ht="14.4" x14ac:dyDescent="0.3">
      <c r="A136" s="9" t="s">
        <v>261</v>
      </c>
      <c r="B136" s="9" t="s">
        <v>403</v>
      </c>
      <c r="C136" s="9" t="s">
        <v>70</v>
      </c>
      <c r="D136" s="10">
        <v>37829</v>
      </c>
      <c r="E136" s="9" t="s">
        <v>404</v>
      </c>
      <c r="F136" s="9" t="s">
        <v>72</v>
      </c>
      <c r="G136" s="9" t="str">
        <f>IF(Table1[[#This Row],[POHLAVI]]="M","Muž", "Žena")</f>
        <v>Žena</v>
      </c>
      <c r="H136" s="9">
        <v>135</v>
      </c>
      <c r="I136" s="9" t="s">
        <v>117</v>
      </c>
      <c r="J136" t="str">
        <f t="shared" si="2"/>
        <v>Jana Humlíčková</v>
      </c>
    </row>
    <row r="137" spans="1:10" ht="14.4" x14ac:dyDescent="0.3">
      <c r="A137" s="9" t="s">
        <v>405</v>
      </c>
      <c r="B137" s="9" t="s">
        <v>406</v>
      </c>
      <c r="C137" s="9" t="s">
        <v>70</v>
      </c>
      <c r="D137" s="10">
        <v>37829</v>
      </c>
      <c r="E137" s="9" t="s">
        <v>407</v>
      </c>
      <c r="F137" s="9" t="s">
        <v>72</v>
      </c>
      <c r="G137" s="9" t="str">
        <f>IF(Table1[[#This Row],[POHLAVI]]="M","Muž", "Žena")</f>
        <v>Žena</v>
      </c>
      <c r="H137" s="9">
        <v>136</v>
      </c>
      <c r="I137" s="9" t="s">
        <v>67</v>
      </c>
      <c r="J137" t="str">
        <f t="shared" si="2"/>
        <v>Šárka Janečková</v>
      </c>
    </row>
    <row r="138" spans="1:10" ht="14.4" x14ac:dyDescent="0.3">
      <c r="A138" s="9" t="s">
        <v>139</v>
      </c>
      <c r="B138" s="9" t="s">
        <v>408</v>
      </c>
      <c r="C138" s="9" t="s">
        <v>70</v>
      </c>
      <c r="D138" s="10">
        <v>38258</v>
      </c>
      <c r="E138" s="9" t="s">
        <v>409</v>
      </c>
      <c r="F138" s="9" t="s">
        <v>66</v>
      </c>
      <c r="G138" s="9" t="str">
        <f>IF(Table1[[#This Row],[POHLAVI]]="M","Muž", "Žena")</f>
        <v>Muž</v>
      </c>
      <c r="H138" s="9">
        <v>137</v>
      </c>
      <c r="I138" s="9" t="s">
        <v>67</v>
      </c>
      <c r="J138" t="str">
        <f t="shared" si="2"/>
        <v>Josef Kocanda</v>
      </c>
    </row>
    <row r="139" spans="1:10" ht="14.4" x14ac:dyDescent="0.3">
      <c r="A139" s="9" t="s">
        <v>381</v>
      </c>
      <c r="B139" s="9" t="s">
        <v>410</v>
      </c>
      <c r="C139" s="9" t="s">
        <v>70</v>
      </c>
      <c r="D139" s="10">
        <v>37816</v>
      </c>
      <c r="E139" s="9" t="s">
        <v>411</v>
      </c>
      <c r="F139" s="9" t="s">
        <v>72</v>
      </c>
      <c r="G139" s="9" t="str">
        <f>IF(Table1[[#This Row],[POHLAVI]]="M","Muž", "Žena")</f>
        <v>Žena</v>
      </c>
      <c r="H139" s="9">
        <v>138</v>
      </c>
      <c r="I139" s="9" t="s">
        <v>67</v>
      </c>
      <c r="J139" t="str">
        <f t="shared" si="2"/>
        <v>Dominika Kocová</v>
      </c>
    </row>
    <row r="140" spans="1:10" ht="14.4" x14ac:dyDescent="0.3">
      <c r="A140" s="9" t="s">
        <v>203</v>
      </c>
      <c r="B140" s="9" t="s">
        <v>412</v>
      </c>
      <c r="C140" s="9" t="s">
        <v>70</v>
      </c>
      <c r="D140" s="10">
        <v>37719</v>
      </c>
      <c r="E140" s="9" t="s">
        <v>413</v>
      </c>
      <c r="F140" s="9" t="s">
        <v>72</v>
      </c>
      <c r="G140" s="9" t="str">
        <f>IF(Table1[[#This Row],[POHLAVI]]="M","Muž", "Žena")</f>
        <v>Žena</v>
      </c>
      <c r="H140" s="9">
        <v>139</v>
      </c>
      <c r="I140" s="9" t="s">
        <v>67</v>
      </c>
      <c r="J140" t="str">
        <f t="shared" si="2"/>
        <v>Veronika Košíková</v>
      </c>
    </row>
    <row r="141" spans="1:10" ht="14.4" x14ac:dyDescent="0.3">
      <c r="A141" s="9" t="s">
        <v>414</v>
      </c>
      <c r="B141" s="9" t="s">
        <v>92</v>
      </c>
      <c r="C141" s="9" t="s">
        <v>70</v>
      </c>
      <c r="D141" s="10">
        <v>37876</v>
      </c>
      <c r="E141" s="9" t="s">
        <v>415</v>
      </c>
      <c r="F141" s="9" t="s">
        <v>72</v>
      </c>
      <c r="G141" s="9" t="str">
        <f>IF(Table1[[#This Row],[POHLAVI]]="M","Muž", "Žena")</f>
        <v>Žena</v>
      </c>
      <c r="H141" s="9">
        <v>140</v>
      </c>
      <c r="I141" s="9" t="s">
        <v>67</v>
      </c>
      <c r="J141" t="str">
        <f t="shared" si="2"/>
        <v>Martina Krejčíková</v>
      </c>
    </row>
    <row r="142" spans="1:10" ht="14.4" x14ac:dyDescent="0.3">
      <c r="A142" s="9" t="s">
        <v>133</v>
      </c>
      <c r="B142" s="9" t="s">
        <v>416</v>
      </c>
      <c r="C142" s="9" t="s">
        <v>70</v>
      </c>
      <c r="D142" s="10">
        <v>38083</v>
      </c>
      <c r="E142" s="9" t="s">
        <v>417</v>
      </c>
      <c r="F142" s="9" t="s">
        <v>72</v>
      </c>
      <c r="G142" s="9" t="str">
        <f>IF(Table1[[#This Row],[POHLAVI]]="M","Muž", "Žena")</f>
        <v>Žena</v>
      </c>
      <c r="H142" s="9">
        <v>141</v>
      </c>
      <c r="I142" s="9" t="s">
        <v>67</v>
      </c>
      <c r="J142" t="str">
        <f t="shared" si="2"/>
        <v>Tereza Kubíková</v>
      </c>
    </row>
    <row r="143" spans="1:10" ht="14.4" x14ac:dyDescent="0.3">
      <c r="A143" s="9" t="s">
        <v>178</v>
      </c>
      <c r="B143" s="9" t="s">
        <v>418</v>
      </c>
      <c r="C143" s="9" t="s">
        <v>70</v>
      </c>
      <c r="D143" s="10">
        <v>38169</v>
      </c>
      <c r="E143" s="9" t="s">
        <v>419</v>
      </c>
      <c r="F143" s="9" t="s">
        <v>66</v>
      </c>
      <c r="G143" s="9" t="str">
        <f>IF(Table1[[#This Row],[POHLAVI]]="M","Muž", "Žena")</f>
        <v>Muž</v>
      </c>
      <c r="H143" s="9">
        <v>142</v>
      </c>
      <c r="I143" s="9" t="s">
        <v>67</v>
      </c>
      <c r="J143" t="str">
        <f t="shared" si="2"/>
        <v>Marek Neubrand</v>
      </c>
    </row>
    <row r="144" spans="1:10" ht="14.4" x14ac:dyDescent="0.3">
      <c r="A144" s="9" t="s">
        <v>258</v>
      </c>
      <c r="B144" s="9" t="s">
        <v>420</v>
      </c>
      <c r="C144" s="9" t="s">
        <v>70</v>
      </c>
      <c r="D144" s="10">
        <v>38027</v>
      </c>
      <c r="E144" s="9" t="s">
        <v>421</v>
      </c>
      <c r="F144" s="9" t="s">
        <v>72</v>
      </c>
      <c r="G144" s="9" t="str">
        <f>IF(Table1[[#This Row],[POHLAVI]]="M","Muž", "Žena")</f>
        <v>Žena</v>
      </c>
      <c r="H144" s="9">
        <v>143</v>
      </c>
      <c r="I144" s="9" t="s">
        <v>67</v>
      </c>
      <c r="J144" t="str">
        <f t="shared" si="2"/>
        <v>Karolína Palová</v>
      </c>
    </row>
    <row r="145" spans="1:10" ht="14.4" x14ac:dyDescent="0.3">
      <c r="A145" s="9" t="s">
        <v>159</v>
      </c>
      <c r="B145" s="9" t="s">
        <v>422</v>
      </c>
      <c r="C145" s="9" t="s">
        <v>70</v>
      </c>
      <c r="D145" s="10">
        <v>37825</v>
      </c>
      <c r="E145" s="9" t="s">
        <v>423</v>
      </c>
      <c r="F145" s="9" t="s">
        <v>66</v>
      </c>
      <c r="G145" s="9" t="str">
        <f>IF(Table1[[#This Row],[POHLAVI]]="M","Muž", "Žena")</f>
        <v>Muž</v>
      </c>
      <c r="H145" s="9">
        <v>144</v>
      </c>
      <c r="I145" s="9" t="s">
        <v>67</v>
      </c>
      <c r="J145" t="str">
        <f t="shared" si="2"/>
        <v>Václav Poul</v>
      </c>
    </row>
    <row r="146" spans="1:10" ht="14.4" x14ac:dyDescent="0.3">
      <c r="A146" s="9" t="s">
        <v>239</v>
      </c>
      <c r="B146" s="9" t="s">
        <v>424</v>
      </c>
      <c r="C146" s="9" t="s">
        <v>70</v>
      </c>
      <c r="D146" s="10">
        <v>37940</v>
      </c>
      <c r="E146" s="9" t="s">
        <v>425</v>
      </c>
      <c r="F146" s="9" t="s">
        <v>72</v>
      </c>
      <c r="G146" s="9" t="str">
        <f>IF(Table1[[#This Row],[POHLAVI]]="M","Muž", "Žena")</f>
        <v>Žena</v>
      </c>
      <c r="H146" s="9">
        <v>145</v>
      </c>
      <c r="I146" s="9" t="s">
        <v>67</v>
      </c>
      <c r="J146" t="str">
        <f t="shared" si="2"/>
        <v>Adéla Slámová</v>
      </c>
    </row>
    <row r="147" spans="1:10" ht="14.4" x14ac:dyDescent="0.3">
      <c r="A147" s="9" t="s">
        <v>426</v>
      </c>
      <c r="B147" s="9" t="s">
        <v>424</v>
      </c>
      <c r="C147" s="9" t="s">
        <v>70</v>
      </c>
      <c r="D147" s="10">
        <v>38190</v>
      </c>
      <c r="E147" s="9" t="s">
        <v>427</v>
      </c>
      <c r="F147" s="9" t="s">
        <v>72</v>
      </c>
      <c r="G147" s="9" t="str">
        <f>IF(Table1[[#This Row],[POHLAVI]]="M","Muž", "Žena")</f>
        <v>Žena</v>
      </c>
      <c r="H147" s="9">
        <v>146</v>
      </c>
      <c r="I147" s="9" t="s">
        <v>67</v>
      </c>
      <c r="J147" t="str">
        <f t="shared" si="2"/>
        <v>Pavlína Slámová</v>
      </c>
    </row>
    <row r="148" spans="1:10" ht="14.4" x14ac:dyDescent="0.3">
      <c r="A148" s="9" t="s">
        <v>133</v>
      </c>
      <c r="B148" s="9" t="s">
        <v>428</v>
      </c>
      <c r="C148" s="9" t="s">
        <v>70</v>
      </c>
      <c r="D148" s="10">
        <v>37862</v>
      </c>
      <c r="E148" s="9" t="s">
        <v>429</v>
      </c>
      <c r="F148" s="9" t="s">
        <v>72</v>
      </c>
      <c r="G148" s="9" t="str">
        <f>IF(Table1[[#This Row],[POHLAVI]]="M","Muž", "Žena")</f>
        <v>Žena</v>
      </c>
      <c r="H148" s="9">
        <v>147</v>
      </c>
      <c r="I148" s="9" t="s">
        <v>67</v>
      </c>
      <c r="J148" t="str">
        <f t="shared" si="2"/>
        <v>Tereza Víšková</v>
      </c>
    </row>
    <row r="149" spans="1:10" ht="14.4" x14ac:dyDescent="0.3">
      <c r="A149" s="9" t="s">
        <v>386</v>
      </c>
      <c r="B149" s="9" t="s">
        <v>430</v>
      </c>
      <c r="C149" s="9" t="s">
        <v>70</v>
      </c>
      <c r="D149" s="10">
        <v>37976</v>
      </c>
      <c r="E149" s="9" t="s">
        <v>431</v>
      </c>
      <c r="F149" s="9" t="s">
        <v>66</v>
      </c>
      <c r="G149" s="9" t="str">
        <f>IF(Table1[[#This Row],[POHLAVI]]="M","Muž", "Žena")</f>
        <v>Muž</v>
      </c>
      <c r="H149" s="9">
        <v>148</v>
      </c>
      <c r="I149" s="9" t="s">
        <v>67</v>
      </c>
      <c r="J149" t="str">
        <f t="shared" si="2"/>
        <v>Michal Žváček</v>
      </c>
    </row>
    <row r="150" spans="1:10" ht="14.4" x14ac:dyDescent="0.3">
      <c r="A150" s="9" t="s">
        <v>106</v>
      </c>
      <c r="B150" s="9" t="s">
        <v>432</v>
      </c>
      <c r="C150" s="9" t="s">
        <v>70</v>
      </c>
      <c r="D150" s="10">
        <v>37979</v>
      </c>
      <c r="E150" s="9" t="s">
        <v>433</v>
      </c>
      <c r="F150" s="9" t="s">
        <v>66</v>
      </c>
      <c r="G150" s="9" t="str">
        <f>IF(Table1[[#This Row],[POHLAVI]]="M","Muž", "Žena")</f>
        <v>Muž</v>
      </c>
      <c r="H150" s="9">
        <v>149</v>
      </c>
      <c r="I150" s="9" t="s">
        <v>80</v>
      </c>
      <c r="J150" t="str">
        <f t="shared" si="2"/>
        <v>Vojtěch Košík</v>
      </c>
    </row>
    <row r="151" spans="1:10" ht="14.4" x14ac:dyDescent="0.3">
      <c r="A151" s="9" t="s">
        <v>94</v>
      </c>
      <c r="B151" s="9" t="s">
        <v>434</v>
      </c>
      <c r="C151" s="9" t="s">
        <v>70</v>
      </c>
      <c r="D151" s="10">
        <v>38293</v>
      </c>
      <c r="E151" s="9" t="s">
        <v>435</v>
      </c>
      <c r="F151" s="9" t="s">
        <v>66</v>
      </c>
      <c r="G151" s="9" t="str">
        <f>IF(Table1[[#This Row],[POHLAVI]]="M","Muž", "Žena")</f>
        <v>Muž</v>
      </c>
      <c r="H151" s="9">
        <v>150</v>
      </c>
      <c r="I151" s="9" t="s">
        <v>67</v>
      </c>
      <c r="J151" t="str">
        <f t="shared" si="2"/>
        <v>Lukáš Král</v>
      </c>
    </row>
    <row r="152" spans="1:10" ht="14.4" x14ac:dyDescent="0.3">
      <c r="A152" s="9" t="s">
        <v>436</v>
      </c>
      <c r="B152" s="9" t="s">
        <v>437</v>
      </c>
      <c r="C152" s="9" t="s">
        <v>70</v>
      </c>
      <c r="D152" s="10">
        <v>38148</v>
      </c>
      <c r="E152" s="9" t="s">
        <v>438</v>
      </c>
      <c r="F152" s="9" t="s">
        <v>72</v>
      </c>
      <c r="G152" s="9" t="str">
        <f>IF(Table1[[#This Row],[POHLAVI]]="M","Muž", "Žena")</f>
        <v>Žena</v>
      </c>
      <c r="H152" s="9">
        <v>151</v>
      </c>
      <c r="I152" s="9" t="s">
        <v>67</v>
      </c>
      <c r="J152" t="str">
        <f t="shared" si="2"/>
        <v>Lucie Lukešová</v>
      </c>
    </row>
    <row r="153" spans="1:10" ht="14.4" x14ac:dyDescent="0.3">
      <c r="A153" s="9" t="s">
        <v>203</v>
      </c>
      <c r="B153" s="9" t="s">
        <v>439</v>
      </c>
      <c r="C153" s="9" t="s">
        <v>70</v>
      </c>
      <c r="D153" s="10">
        <v>38129</v>
      </c>
      <c r="E153" s="9" t="s">
        <v>440</v>
      </c>
      <c r="F153" s="9" t="s">
        <v>72</v>
      </c>
      <c r="G153" s="9" t="str">
        <f>IF(Table1[[#This Row],[POHLAVI]]="M","Muž", "Žena")</f>
        <v>Žena</v>
      </c>
      <c r="H153" s="9">
        <v>152</v>
      </c>
      <c r="I153" s="9" t="s">
        <v>67</v>
      </c>
      <c r="J153" t="str">
        <f t="shared" si="2"/>
        <v>Veronika Mičková</v>
      </c>
    </row>
    <row r="154" spans="1:10" ht="14.4" x14ac:dyDescent="0.3">
      <c r="A154" s="9" t="s">
        <v>339</v>
      </c>
      <c r="B154" s="9" t="s">
        <v>441</v>
      </c>
      <c r="C154" s="9" t="s">
        <v>70</v>
      </c>
      <c r="D154" s="10">
        <v>38151</v>
      </c>
      <c r="E154" s="9" t="s">
        <v>442</v>
      </c>
      <c r="F154" s="9" t="s">
        <v>72</v>
      </c>
      <c r="G154" s="9" t="str">
        <f>IF(Table1[[#This Row],[POHLAVI]]="M","Muž", "Žena")</f>
        <v>Žena</v>
      </c>
      <c r="H154" s="9">
        <v>153</v>
      </c>
      <c r="I154" s="9" t="s">
        <v>67</v>
      </c>
      <c r="J154" t="str">
        <f t="shared" si="2"/>
        <v>Vendula Peňázová</v>
      </c>
    </row>
    <row r="155" spans="1:10" ht="14.4" x14ac:dyDescent="0.3">
      <c r="A155" s="9" t="s">
        <v>443</v>
      </c>
      <c r="B155" s="9" t="s">
        <v>444</v>
      </c>
      <c r="C155" s="9" t="s">
        <v>70</v>
      </c>
      <c r="D155" s="10">
        <v>38034</v>
      </c>
      <c r="E155" s="9" t="s">
        <v>445</v>
      </c>
      <c r="F155" s="9" t="s">
        <v>66</v>
      </c>
      <c r="G155" s="9" t="str">
        <f>IF(Table1[[#This Row],[POHLAVI]]="M","Muž", "Žena")</f>
        <v>Muž</v>
      </c>
      <c r="H155" s="9">
        <v>154</v>
      </c>
      <c r="I155" s="9" t="s">
        <v>67</v>
      </c>
      <c r="J155" t="str">
        <f t="shared" si="2"/>
        <v>Miloslav Vencálek</v>
      </c>
    </row>
    <row r="156" spans="1:10" ht="14.4" x14ac:dyDescent="0.3">
      <c r="A156" s="9" t="s">
        <v>136</v>
      </c>
      <c r="B156" s="9" t="s">
        <v>446</v>
      </c>
      <c r="C156" s="9" t="s">
        <v>70</v>
      </c>
      <c r="D156" s="10">
        <v>38176</v>
      </c>
      <c r="E156" s="9" t="s">
        <v>447</v>
      </c>
      <c r="F156" s="9" t="s">
        <v>66</v>
      </c>
      <c r="G156" s="9" t="str">
        <f>IF(Table1[[#This Row],[POHLAVI]]="M","Muž", "Žena")</f>
        <v>Muž</v>
      </c>
      <c r="H156" s="9">
        <v>155</v>
      </c>
      <c r="I156" s="9" t="s">
        <v>67</v>
      </c>
      <c r="J156" t="str">
        <f t="shared" si="2"/>
        <v>Jan Beneš</v>
      </c>
    </row>
    <row r="157" spans="1:10" ht="14.4" x14ac:dyDescent="0.3">
      <c r="A157" s="9" t="s">
        <v>448</v>
      </c>
      <c r="B157" s="9" t="s">
        <v>284</v>
      </c>
      <c r="C157" s="9" t="s">
        <v>70</v>
      </c>
      <c r="D157" s="10">
        <v>37971</v>
      </c>
      <c r="E157" s="9" t="s">
        <v>449</v>
      </c>
      <c r="F157" s="9" t="s">
        <v>72</v>
      </c>
      <c r="G157" s="9" t="str">
        <f>IF(Table1[[#This Row],[POHLAVI]]="M","Muž", "Žena")</f>
        <v>Žena</v>
      </c>
      <c r="H157" s="9">
        <v>156</v>
      </c>
      <c r="I157" s="9" t="s">
        <v>67</v>
      </c>
      <c r="J157" t="str">
        <f t="shared" si="2"/>
        <v>Růžena Horváthová</v>
      </c>
    </row>
    <row r="158" spans="1:10" ht="14.4" x14ac:dyDescent="0.3">
      <c r="A158" s="9" t="s">
        <v>151</v>
      </c>
      <c r="B158" s="9" t="s">
        <v>82</v>
      </c>
      <c r="C158" s="9" t="s">
        <v>70</v>
      </c>
      <c r="D158" s="10">
        <v>38086</v>
      </c>
      <c r="E158" s="9" t="s">
        <v>450</v>
      </c>
      <c r="F158" s="9" t="s">
        <v>66</v>
      </c>
      <c r="G158" s="9" t="str">
        <f>IF(Table1[[#This Row],[POHLAVI]]="M","Muž", "Žena")</f>
        <v>Muž</v>
      </c>
      <c r="H158" s="9">
        <v>157</v>
      </c>
      <c r="I158" s="9" t="s">
        <v>67</v>
      </c>
      <c r="J158" t="str">
        <f t="shared" si="2"/>
        <v>Petr Janů</v>
      </c>
    </row>
    <row r="159" spans="1:10" ht="14.4" x14ac:dyDescent="0.3">
      <c r="A159" s="9" t="s">
        <v>261</v>
      </c>
      <c r="B159" s="9" t="s">
        <v>451</v>
      </c>
      <c r="C159" s="9" t="s">
        <v>70</v>
      </c>
      <c r="D159" s="10">
        <v>38330</v>
      </c>
      <c r="E159" s="9" t="s">
        <v>452</v>
      </c>
      <c r="F159" s="9" t="s">
        <v>72</v>
      </c>
      <c r="G159" s="9" t="str">
        <f>IF(Table1[[#This Row],[POHLAVI]]="M","Muž", "Žena")</f>
        <v>Žena</v>
      </c>
      <c r="H159" s="9">
        <v>158</v>
      </c>
      <c r="I159" s="9" t="s">
        <v>67</v>
      </c>
      <c r="J159" t="str">
        <f t="shared" si="2"/>
        <v>Jana Jurdová</v>
      </c>
    </row>
    <row r="160" spans="1:10" ht="14.4" x14ac:dyDescent="0.3">
      <c r="A160" s="9" t="s">
        <v>453</v>
      </c>
      <c r="B160" s="9" t="s">
        <v>454</v>
      </c>
      <c r="C160" s="9" t="s">
        <v>70</v>
      </c>
      <c r="D160" s="10">
        <v>37839</v>
      </c>
      <c r="E160" s="9" t="s">
        <v>455</v>
      </c>
      <c r="F160" s="9" t="s">
        <v>72</v>
      </c>
      <c r="G160" s="9" t="str">
        <f>IF(Table1[[#This Row],[POHLAVI]]="M","Muž", "Žena")</f>
        <v>Žena</v>
      </c>
      <c r="H160" s="9">
        <v>159</v>
      </c>
      <c r="I160" s="9" t="s">
        <v>67</v>
      </c>
      <c r="J160" t="str">
        <f t="shared" si="2"/>
        <v>Sára Klimešová</v>
      </c>
    </row>
    <row r="161" spans="1:10" ht="14.4" x14ac:dyDescent="0.3">
      <c r="A161" s="9" t="s">
        <v>456</v>
      </c>
      <c r="B161" s="9" t="s">
        <v>457</v>
      </c>
      <c r="C161" s="9" t="s">
        <v>70</v>
      </c>
      <c r="D161" s="10">
        <v>37598</v>
      </c>
      <c r="E161" s="9" t="s">
        <v>458</v>
      </c>
      <c r="F161" s="9" t="s">
        <v>66</v>
      </c>
      <c r="G161" s="9" t="str">
        <f>IF(Table1[[#This Row],[POHLAVI]]="M","Muž", "Žena")</f>
        <v>Muž</v>
      </c>
      <c r="H161" s="9">
        <v>160</v>
      </c>
      <c r="I161" s="9" t="s">
        <v>117</v>
      </c>
      <c r="J161" t="str">
        <f t="shared" si="2"/>
        <v>Kryštof Komínek</v>
      </c>
    </row>
    <row r="162" spans="1:10" ht="14.4" x14ac:dyDescent="0.3">
      <c r="A162" s="9" t="s">
        <v>354</v>
      </c>
      <c r="B162" s="9" t="s">
        <v>459</v>
      </c>
      <c r="C162" s="9" t="s">
        <v>70</v>
      </c>
      <c r="D162" s="10">
        <v>37668</v>
      </c>
      <c r="E162" s="9" t="s">
        <v>460</v>
      </c>
      <c r="F162" s="9" t="s">
        <v>66</v>
      </c>
      <c r="G162" s="9" t="str">
        <f>IF(Table1[[#This Row],[POHLAVI]]="M","Muž", "Žena")</f>
        <v>Muž</v>
      </c>
      <c r="H162" s="9">
        <v>161</v>
      </c>
      <c r="I162" s="9" t="s">
        <v>67</v>
      </c>
      <c r="J162" t="str">
        <f t="shared" si="2"/>
        <v>Šimon Konečný</v>
      </c>
    </row>
    <row r="163" spans="1:10" ht="14.4" x14ac:dyDescent="0.3">
      <c r="A163" s="9" t="s">
        <v>461</v>
      </c>
      <c r="B163" s="9" t="s">
        <v>462</v>
      </c>
      <c r="C163" s="9" t="s">
        <v>70</v>
      </c>
      <c r="D163" s="10">
        <v>37746</v>
      </c>
      <c r="E163" s="9" t="s">
        <v>463</v>
      </c>
      <c r="F163" s="9" t="s">
        <v>72</v>
      </c>
      <c r="G163" s="9" t="str">
        <f>IF(Table1[[#This Row],[POHLAVI]]="M","Muž", "Žena")</f>
        <v>Žena</v>
      </c>
      <c r="H163" s="9">
        <v>162</v>
      </c>
      <c r="I163" s="9" t="s">
        <v>67</v>
      </c>
      <c r="J163" t="str">
        <f t="shared" si="2"/>
        <v>Leona Librová</v>
      </c>
    </row>
    <row r="164" spans="1:10" ht="14.4" x14ac:dyDescent="0.3">
      <c r="A164" s="9" t="s">
        <v>464</v>
      </c>
      <c r="B164" s="9" t="s">
        <v>465</v>
      </c>
      <c r="C164" s="9" t="s">
        <v>70</v>
      </c>
      <c r="D164" s="10">
        <v>37719</v>
      </c>
      <c r="E164" s="9" t="s">
        <v>466</v>
      </c>
      <c r="F164" s="9" t="s">
        <v>72</v>
      </c>
      <c r="G164" s="9" t="str">
        <f>IF(Table1[[#This Row],[POHLAVI]]="M","Muž", "Žena")</f>
        <v>Žena</v>
      </c>
      <c r="H164" s="9">
        <v>163</v>
      </c>
      <c r="I164" s="9" t="s">
        <v>67</v>
      </c>
      <c r="J164" t="str">
        <f t="shared" si="2"/>
        <v>Ellen Marcinko</v>
      </c>
    </row>
    <row r="165" spans="1:10" ht="14.4" x14ac:dyDescent="0.3">
      <c r="A165" s="9" t="s">
        <v>467</v>
      </c>
      <c r="B165" s="9" t="s">
        <v>468</v>
      </c>
      <c r="C165" s="9" t="s">
        <v>70</v>
      </c>
      <c r="D165" s="10">
        <v>37655</v>
      </c>
      <c r="E165" s="9" t="s">
        <v>469</v>
      </c>
      <c r="F165" s="9" t="s">
        <v>66</v>
      </c>
      <c r="G165" s="9" t="str">
        <f>IF(Table1[[#This Row],[POHLAVI]]="M","Muž", "Žena")</f>
        <v>Muž</v>
      </c>
      <c r="H165" s="9">
        <v>164</v>
      </c>
      <c r="I165" s="9" t="s">
        <v>67</v>
      </c>
      <c r="J165" t="str">
        <f t="shared" si="2"/>
        <v>Jaromír Mráz</v>
      </c>
    </row>
    <row r="166" spans="1:10" ht="14.4" x14ac:dyDescent="0.3">
      <c r="A166" s="9" t="s">
        <v>470</v>
      </c>
      <c r="B166" s="9" t="s">
        <v>305</v>
      </c>
      <c r="C166" s="9" t="s">
        <v>70</v>
      </c>
      <c r="D166" s="10">
        <v>37654</v>
      </c>
      <c r="E166" s="9" t="s">
        <v>471</v>
      </c>
      <c r="F166" s="9" t="s">
        <v>72</v>
      </c>
      <c r="G166" s="9" t="str">
        <f>IF(Table1[[#This Row],[POHLAVI]]="M","Muž", "Žena")</f>
        <v>Žena</v>
      </c>
      <c r="H166" s="9">
        <v>165</v>
      </c>
      <c r="I166" s="9" t="s">
        <v>67</v>
      </c>
      <c r="J166" t="str">
        <f t="shared" si="2"/>
        <v>Eliška Marie Oravcová</v>
      </c>
    </row>
    <row r="167" spans="1:10" ht="14.4" x14ac:dyDescent="0.3">
      <c r="A167" s="9" t="s">
        <v>133</v>
      </c>
      <c r="B167" s="9" t="s">
        <v>305</v>
      </c>
      <c r="C167" s="9" t="s">
        <v>70</v>
      </c>
      <c r="D167" s="10">
        <v>37735</v>
      </c>
      <c r="E167" s="9" t="s">
        <v>472</v>
      </c>
      <c r="F167" s="9" t="s">
        <v>72</v>
      </c>
      <c r="G167" s="9" t="str">
        <f>IF(Table1[[#This Row],[POHLAVI]]="M","Muž", "Žena")</f>
        <v>Žena</v>
      </c>
      <c r="H167" s="9">
        <v>166</v>
      </c>
      <c r="I167" s="9" t="s">
        <v>67</v>
      </c>
      <c r="J167" t="str">
        <f t="shared" si="2"/>
        <v>Tereza Oravcová</v>
      </c>
    </row>
    <row r="168" spans="1:10" ht="14.4" x14ac:dyDescent="0.3">
      <c r="A168" s="9" t="s">
        <v>426</v>
      </c>
      <c r="B168" s="9" t="s">
        <v>473</v>
      </c>
      <c r="C168" s="9" t="s">
        <v>70</v>
      </c>
      <c r="D168" s="10">
        <v>37607</v>
      </c>
      <c r="E168" s="9" t="s">
        <v>474</v>
      </c>
      <c r="F168" s="9" t="s">
        <v>72</v>
      </c>
      <c r="G168" s="9" t="str">
        <f>IF(Table1[[#This Row],[POHLAVI]]="M","Muž", "Žena")</f>
        <v>Žena</v>
      </c>
      <c r="H168" s="9">
        <v>167</v>
      </c>
      <c r="I168" s="9" t="s">
        <v>67</v>
      </c>
      <c r="J168" t="str">
        <f t="shared" si="2"/>
        <v>Pavlína Prokopová</v>
      </c>
    </row>
    <row r="169" spans="1:10" ht="14.4" x14ac:dyDescent="0.3">
      <c r="A169" s="9" t="s">
        <v>186</v>
      </c>
      <c r="B169" s="9" t="s">
        <v>475</v>
      </c>
      <c r="C169" s="9" t="s">
        <v>70</v>
      </c>
      <c r="D169" s="10">
        <v>37769</v>
      </c>
      <c r="E169" s="9" t="s">
        <v>476</v>
      </c>
      <c r="F169" s="9" t="s">
        <v>72</v>
      </c>
      <c r="G169" s="9" t="str">
        <f>IF(Table1[[#This Row],[POHLAVI]]="M","Muž", "Žena")</f>
        <v>Žena</v>
      </c>
      <c r="H169" s="9">
        <v>168</v>
      </c>
      <c r="I169" s="9" t="s">
        <v>67</v>
      </c>
      <c r="J169" t="str">
        <f t="shared" si="2"/>
        <v>Kateřina Rosecká</v>
      </c>
    </row>
    <row r="170" spans="1:10" ht="14.4" x14ac:dyDescent="0.3">
      <c r="A170" s="9" t="s">
        <v>386</v>
      </c>
      <c r="B170" s="9" t="s">
        <v>115</v>
      </c>
      <c r="C170" s="9" t="s">
        <v>70</v>
      </c>
      <c r="D170" s="10">
        <v>37690</v>
      </c>
      <c r="E170" s="9" t="s">
        <v>477</v>
      </c>
      <c r="F170" s="9" t="s">
        <v>66</v>
      </c>
      <c r="G170" s="9" t="str">
        <f>IF(Table1[[#This Row],[POHLAVI]]="M","Muž", "Žena")</f>
        <v>Muž</v>
      </c>
      <c r="H170" s="9">
        <v>169</v>
      </c>
      <c r="I170" s="9" t="s">
        <v>67</v>
      </c>
      <c r="J170" t="str">
        <f t="shared" si="2"/>
        <v>Michal Sklenář</v>
      </c>
    </row>
    <row r="171" spans="1:10" ht="14.4" x14ac:dyDescent="0.3">
      <c r="A171" s="9" t="s">
        <v>293</v>
      </c>
      <c r="B171" s="9" t="s">
        <v>478</v>
      </c>
      <c r="C171" s="9" t="s">
        <v>70</v>
      </c>
      <c r="D171" s="10">
        <v>37580</v>
      </c>
      <c r="E171" s="9" t="s">
        <v>479</v>
      </c>
      <c r="F171" s="9" t="s">
        <v>66</v>
      </c>
      <c r="G171" s="9" t="str">
        <f>IF(Table1[[#This Row],[POHLAVI]]="M","Muž", "Žena")</f>
        <v>Muž</v>
      </c>
      <c r="H171" s="9">
        <v>170</v>
      </c>
      <c r="I171" s="9" t="s">
        <v>67</v>
      </c>
      <c r="J171" t="str">
        <f t="shared" si="2"/>
        <v>Ondřej Slonek</v>
      </c>
    </row>
    <row r="172" spans="1:10" ht="14.4" x14ac:dyDescent="0.3">
      <c r="A172" s="9" t="s">
        <v>480</v>
      </c>
      <c r="B172" s="9" t="s">
        <v>122</v>
      </c>
      <c r="C172" s="9" t="s">
        <v>70</v>
      </c>
      <c r="D172" s="10">
        <v>37516</v>
      </c>
      <c r="E172" s="9" t="s">
        <v>481</v>
      </c>
      <c r="F172" s="9" t="s">
        <v>72</v>
      </c>
      <c r="G172" s="9" t="str">
        <f>IF(Table1[[#This Row],[POHLAVI]]="M","Muž", "Žena")</f>
        <v>Žena</v>
      </c>
      <c r="H172" s="9">
        <v>171</v>
      </c>
      <c r="I172" s="9" t="s">
        <v>67</v>
      </c>
      <c r="J172" t="str">
        <f t="shared" si="2"/>
        <v>Antonie Slonková</v>
      </c>
    </row>
    <row r="173" spans="1:10" ht="14.4" x14ac:dyDescent="0.3">
      <c r="A173" s="9" t="s">
        <v>293</v>
      </c>
      <c r="B173" s="9" t="s">
        <v>482</v>
      </c>
      <c r="C173" s="9" t="s">
        <v>70</v>
      </c>
      <c r="D173" s="10">
        <v>37776</v>
      </c>
      <c r="E173" s="9" t="s">
        <v>483</v>
      </c>
      <c r="F173" s="9" t="s">
        <v>66</v>
      </c>
      <c r="G173" s="9" t="str">
        <f>IF(Table1[[#This Row],[POHLAVI]]="M","Muž", "Žena")</f>
        <v>Muž</v>
      </c>
      <c r="H173" s="9">
        <v>172</v>
      </c>
      <c r="I173" s="9" t="s">
        <v>67</v>
      </c>
      <c r="J173" t="str">
        <f t="shared" si="2"/>
        <v>Ondřej Srnský</v>
      </c>
    </row>
    <row r="174" spans="1:10" ht="14.4" x14ac:dyDescent="0.3">
      <c r="A174" s="9" t="s">
        <v>484</v>
      </c>
      <c r="B174" s="9" t="s">
        <v>485</v>
      </c>
      <c r="C174" s="9" t="s">
        <v>70</v>
      </c>
      <c r="D174" s="10">
        <v>37635</v>
      </c>
      <c r="E174" s="9" t="s">
        <v>486</v>
      </c>
      <c r="F174" s="9" t="s">
        <v>66</v>
      </c>
      <c r="G174" s="9" t="str">
        <f>IF(Table1[[#This Row],[POHLAVI]]="M","Muž", "Žena")</f>
        <v>Muž</v>
      </c>
      <c r="H174" s="9">
        <v>173</v>
      </c>
      <c r="I174" s="9" t="s">
        <v>67</v>
      </c>
      <c r="J174" t="str">
        <f t="shared" si="2"/>
        <v>Sebastian Suchý</v>
      </c>
    </row>
    <row r="175" spans="1:10" ht="14.4" x14ac:dyDescent="0.3">
      <c r="A175" s="9" t="s">
        <v>261</v>
      </c>
      <c r="B175" s="9" t="s">
        <v>487</v>
      </c>
      <c r="C175" s="9" t="s">
        <v>70</v>
      </c>
      <c r="D175" s="10">
        <v>37476</v>
      </c>
      <c r="E175" s="9" t="s">
        <v>488</v>
      </c>
      <c r="F175" s="9" t="s">
        <v>72</v>
      </c>
      <c r="G175" s="9" t="str">
        <f>IF(Table1[[#This Row],[POHLAVI]]="M","Muž", "Žena")</f>
        <v>Žena</v>
      </c>
      <c r="H175" s="9">
        <v>174</v>
      </c>
      <c r="I175" s="9" t="s">
        <v>67</v>
      </c>
      <c r="J175" t="str">
        <f t="shared" si="2"/>
        <v>Jana Svatoňová</v>
      </c>
    </row>
    <row r="176" spans="1:10" ht="14.4" x14ac:dyDescent="0.3">
      <c r="A176" s="9" t="s">
        <v>456</v>
      </c>
      <c r="B176" s="9" t="s">
        <v>489</v>
      </c>
      <c r="C176" s="9" t="s">
        <v>70</v>
      </c>
      <c r="D176" s="10">
        <v>37844</v>
      </c>
      <c r="E176" s="9" t="s">
        <v>490</v>
      </c>
      <c r="F176" s="9" t="s">
        <v>66</v>
      </c>
      <c r="G176" s="9" t="str">
        <f>IF(Table1[[#This Row],[POHLAVI]]="M","Muž", "Žena")</f>
        <v>Muž</v>
      </c>
      <c r="H176" s="9">
        <v>175</v>
      </c>
      <c r="I176" s="9" t="s">
        <v>67</v>
      </c>
      <c r="J176" t="str">
        <f t="shared" si="2"/>
        <v>Kryštof Štěpnička</v>
      </c>
    </row>
    <row r="177" spans="1:10" ht="14.4" x14ac:dyDescent="0.3">
      <c r="A177" s="9" t="s">
        <v>255</v>
      </c>
      <c r="B177" s="9" t="s">
        <v>491</v>
      </c>
      <c r="C177" s="9" t="s">
        <v>70</v>
      </c>
      <c r="D177" s="10">
        <v>37750</v>
      </c>
      <c r="E177" s="9" t="s">
        <v>492</v>
      </c>
      <c r="F177" s="9" t="s">
        <v>72</v>
      </c>
      <c r="G177" s="9" t="str">
        <f>IF(Table1[[#This Row],[POHLAVI]]="M","Muž", "Žena")</f>
        <v>Žena</v>
      </c>
      <c r="H177" s="9">
        <v>176</v>
      </c>
      <c r="I177" s="9" t="s">
        <v>67</v>
      </c>
      <c r="J177" t="str">
        <f t="shared" si="2"/>
        <v>Aneta Ťupová</v>
      </c>
    </row>
    <row r="178" spans="1:10" ht="14.4" x14ac:dyDescent="0.3">
      <c r="A178" s="9" t="s">
        <v>493</v>
      </c>
      <c r="B178" s="9" t="s">
        <v>322</v>
      </c>
      <c r="C178" s="9" t="s">
        <v>70</v>
      </c>
      <c r="D178" s="10">
        <v>37508</v>
      </c>
      <c r="E178" s="9" t="s">
        <v>494</v>
      </c>
      <c r="F178" s="9" t="s">
        <v>72</v>
      </c>
      <c r="G178" s="9" t="str">
        <f>IF(Table1[[#This Row],[POHLAVI]]="M","Muž", "Žena")</f>
        <v>Žena</v>
      </c>
      <c r="H178" s="9">
        <v>177</v>
      </c>
      <c r="I178" s="9" t="s">
        <v>67</v>
      </c>
      <c r="J178" t="str">
        <f t="shared" si="2"/>
        <v>Daniela Vodičková</v>
      </c>
    </row>
    <row r="179" spans="1:10" ht="14.4" x14ac:dyDescent="0.3">
      <c r="A179" s="9" t="s">
        <v>288</v>
      </c>
      <c r="B179" s="9" t="s">
        <v>495</v>
      </c>
      <c r="C179" s="9" t="s">
        <v>70</v>
      </c>
      <c r="D179" s="10">
        <v>37659</v>
      </c>
      <c r="E179" s="9" t="s">
        <v>496</v>
      </c>
      <c r="F179" s="9" t="s">
        <v>66</v>
      </c>
      <c r="G179" s="9" t="str">
        <f>IF(Table1[[#This Row],[POHLAVI]]="M","Muž", "Žena")</f>
        <v>Muž</v>
      </c>
      <c r="H179" s="9">
        <v>178</v>
      </c>
      <c r="I179" s="9" t="s">
        <v>80</v>
      </c>
      <c r="J179" t="str">
        <f t="shared" si="2"/>
        <v>Filip Duda</v>
      </c>
    </row>
    <row r="180" spans="1:10" ht="14.4" x14ac:dyDescent="0.3">
      <c r="A180" s="9" t="s">
        <v>311</v>
      </c>
      <c r="B180" s="9" t="s">
        <v>497</v>
      </c>
      <c r="C180" s="9" t="s">
        <v>70</v>
      </c>
      <c r="D180" s="10">
        <v>37622</v>
      </c>
      <c r="E180" s="9" t="s">
        <v>498</v>
      </c>
      <c r="F180" s="9" t="s">
        <v>72</v>
      </c>
      <c r="G180" s="9" t="str">
        <f>IF(Table1[[#This Row],[POHLAVI]]="M","Muž", "Žena")</f>
        <v>Žena</v>
      </c>
      <c r="H180" s="9">
        <v>179</v>
      </c>
      <c r="I180" s="9" t="s">
        <v>91</v>
      </c>
      <c r="J180" t="str">
        <f t="shared" si="2"/>
        <v>Nikola Havlíková</v>
      </c>
    </row>
    <row r="181" spans="1:10" ht="14.4" x14ac:dyDescent="0.3">
      <c r="A181" s="9" t="s">
        <v>151</v>
      </c>
      <c r="B181" s="9" t="s">
        <v>499</v>
      </c>
      <c r="C181" s="9" t="s">
        <v>70</v>
      </c>
      <c r="D181" s="10">
        <v>37737</v>
      </c>
      <c r="E181" s="9" t="s">
        <v>500</v>
      </c>
      <c r="F181" s="9" t="s">
        <v>66</v>
      </c>
      <c r="G181" s="9" t="str">
        <f>IF(Table1[[#This Row],[POHLAVI]]="M","Muž", "Žena")</f>
        <v>Muž</v>
      </c>
      <c r="H181" s="9">
        <v>180</v>
      </c>
      <c r="I181" s="9" t="s">
        <v>67</v>
      </c>
      <c r="J181" t="str">
        <f t="shared" si="2"/>
        <v>Petr Hlaváč</v>
      </c>
    </row>
    <row r="182" spans="1:10" ht="14.4" x14ac:dyDescent="0.3">
      <c r="A182" s="9" t="s">
        <v>501</v>
      </c>
      <c r="B182" s="9" t="s">
        <v>221</v>
      </c>
      <c r="C182" s="9" t="s">
        <v>70</v>
      </c>
      <c r="D182" s="10">
        <v>37791</v>
      </c>
      <c r="E182" s="9" t="s">
        <v>502</v>
      </c>
      <c r="F182" s="9" t="s">
        <v>66</v>
      </c>
      <c r="G182" s="9" t="str">
        <f>IF(Table1[[#This Row],[POHLAVI]]="M","Muž", "Žena")</f>
        <v>Muž</v>
      </c>
      <c r="H182" s="9">
        <v>181</v>
      </c>
      <c r="I182" s="9" t="s">
        <v>67</v>
      </c>
      <c r="J182" t="str">
        <f t="shared" si="2"/>
        <v>Radek Horký</v>
      </c>
    </row>
    <row r="183" spans="1:10" ht="14.4" x14ac:dyDescent="0.3">
      <c r="A183" s="9" t="s">
        <v>261</v>
      </c>
      <c r="B183" s="9" t="s">
        <v>403</v>
      </c>
      <c r="C183" s="9" t="s">
        <v>70</v>
      </c>
      <c r="D183" s="10">
        <v>37801</v>
      </c>
      <c r="E183" s="9" t="s">
        <v>503</v>
      </c>
      <c r="F183" s="9" t="s">
        <v>72</v>
      </c>
      <c r="G183" s="9" t="str">
        <f>IF(Table1[[#This Row],[POHLAVI]]="M","Muž", "Žena")</f>
        <v>Žena</v>
      </c>
      <c r="H183" s="9">
        <v>182</v>
      </c>
      <c r="I183" s="9" t="s">
        <v>67</v>
      </c>
      <c r="J183" t="str">
        <f t="shared" si="2"/>
        <v>Jana Humlíčková</v>
      </c>
    </row>
    <row r="184" spans="1:10" ht="14.4" x14ac:dyDescent="0.3">
      <c r="A184" s="9" t="s">
        <v>436</v>
      </c>
      <c r="B184" s="9" t="s">
        <v>504</v>
      </c>
      <c r="C184" s="9" t="s">
        <v>70</v>
      </c>
      <c r="D184" s="10">
        <v>37656</v>
      </c>
      <c r="E184" s="9" t="s">
        <v>505</v>
      </c>
      <c r="F184" s="9" t="s">
        <v>72</v>
      </c>
      <c r="G184" s="9" t="str">
        <f>IF(Table1[[#This Row],[POHLAVI]]="M","Muž", "Žena")</f>
        <v>Žena</v>
      </c>
      <c r="H184" s="9">
        <v>183</v>
      </c>
      <c r="I184" s="9" t="s">
        <v>67</v>
      </c>
      <c r="J184" t="str">
        <f t="shared" si="2"/>
        <v>Lucie Ivaničová</v>
      </c>
    </row>
    <row r="185" spans="1:10" ht="14.4" x14ac:dyDescent="0.3">
      <c r="A185" s="9" t="s">
        <v>94</v>
      </c>
      <c r="B185" s="9" t="s">
        <v>506</v>
      </c>
      <c r="C185" s="9" t="s">
        <v>70</v>
      </c>
      <c r="D185" s="10">
        <v>37641</v>
      </c>
      <c r="E185" s="9" t="s">
        <v>507</v>
      </c>
      <c r="F185" s="9" t="s">
        <v>66</v>
      </c>
      <c r="G185" s="9" t="str">
        <f>IF(Table1[[#This Row],[POHLAVI]]="M","Muž", "Žena")</f>
        <v>Muž</v>
      </c>
      <c r="H185" s="9">
        <v>184</v>
      </c>
      <c r="I185" s="9" t="s">
        <v>67</v>
      </c>
      <c r="J185" t="str">
        <f t="shared" si="2"/>
        <v>Lukáš Krejčí</v>
      </c>
    </row>
    <row r="186" spans="1:10" ht="14.4" x14ac:dyDescent="0.3">
      <c r="A186" s="9" t="s">
        <v>100</v>
      </c>
      <c r="B186" s="9" t="s">
        <v>508</v>
      </c>
      <c r="C186" s="9" t="s">
        <v>70</v>
      </c>
      <c r="D186" s="10">
        <v>37451</v>
      </c>
      <c r="E186" s="9" t="s">
        <v>509</v>
      </c>
      <c r="F186" s="9" t="s">
        <v>72</v>
      </c>
      <c r="G186" s="9" t="str">
        <f>IF(Table1[[#This Row],[POHLAVI]]="M","Muž", "Žena")</f>
        <v>Žena</v>
      </c>
      <c r="H186" s="9">
        <v>185</v>
      </c>
      <c r="I186" s="9" t="s">
        <v>67</v>
      </c>
      <c r="J186" t="str">
        <f t="shared" si="2"/>
        <v>Barbora Malinová</v>
      </c>
    </row>
    <row r="187" spans="1:10" ht="14.4" x14ac:dyDescent="0.3">
      <c r="A187" s="9" t="s">
        <v>364</v>
      </c>
      <c r="B187" s="9" t="s">
        <v>510</v>
      </c>
      <c r="C187" s="9" t="s">
        <v>70</v>
      </c>
      <c r="D187" s="10">
        <v>37404</v>
      </c>
      <c r="E187" s="9" t="s">
        <v>511</v>
      </c>
      <c r="F187" s="9" t="s">
        <v>72</v>
      </c>
      <c r="G187" s="9" t="str">
        <f>IF(Table1[[#This Row],[POHLAVI]]="M","Muž", "Žena")</f>
        <v>Žena</v>
      </c>
      <c r="H187" s="9">
        <v>186</v>
      </c>
      <c r="I187" s="9" t="s">
        <v>67</v>
      </c>
      <c r="J187" t="str">
        <f t="shared" si="2"/>
        <v>Simona Mojžíšová</v>
      </c>
    </row>
    <row r="188" spans="1:10" ht="14.4" x14ac:dyDescent="0.3">
      <c r="A188" s="9" t="s">
        <v>512</v>
      </c>
      <c r="B188" s="9" t="s">
        <v>513</v>
      </c>
      <c r="C188" s="9" t="s">
        <v>70</v>
      </c>
      <c r="D188" s="10">
        <v>37765</v>
      </c>
      <c r="E188" s="9" t="s">
        <v>514</v>
      </c>
      <c r="F188" s="9" t="s">
        <v>72</v>
      </c>
      <c r="G188" s="9" t="str">
        <f>IF(Table1[[#This Row],[POHLAVI]]="M","Muž", "Žena")</f>
        <v>Žena</v>
      </c>
      <c r="H188" s="9">
        <v>187</v>
      </c>
      <c r="I188" s="9" t="s">
        <v>80</v>
      </c>
      <c r="J188" t="str">
        <f t="shared" si="2"/>
        <v>Eva Mošnerová</v>
      </c>
    </row>
    <row r="189" spans="1:10" ht="14.4" x14ac:dyDescent="0.3">
      <c r="A189" s="9" t="s">
        <v>321</v>
      </c>
      <c r="B189" s="9" t="s">
        <v>515</v>
      </c>
      <c r="C189" s="9" t="s">
        <v>516</v>
      </c>
      <c r="D189" s="10">
        <v>37632</v>
      </c>
      <c r="E189" s="9" t="s">
        <v>517</v>
      </c>
      <c r="F189" s="9" t="s">
        <v>72</v>
      </c>
      <c r="G189" s="9" t="str">
        <f>IF(Table1[[#This Row],[POHLAVI]]="M","Muž", "Žena")</f>
        <v>Žena</v>
      </c>
      <c r="H189" s="9">
        <v>188</v>
      </c>
      <c r="I189" s="9" t="s">
        <v>67</v>
      </c>
      <c r="J189" t="str">
        <f t="shared" si="2"/>
        <v>Denisa Mrázková</v>
      </c>
    </row>
    <row r="190" spans="1:10" ht="14.4" x14ac:dyDescent="0.3">
      <c r="A190" s="9" t="s">
        <v>136</v>
      </c>
      <c r="B190" s="9" t="s">
        <v>518</v>
      </c>
      <c r="C190" s="9" t="s">
        <v>70</v>
      </c>
      <c r="D190" s="10">
        <v>37646</v>
      </c>
      <c r="E190" s="9" t="s">
        <v>519</v>
      </c>
      <c r="F190" s="9" t="s">
        <v>66</v>
      </c>
      <c r="G190" s="9" t="str">
        <f>IF(Table1[[#This Row],[POHLAVI]]="M","Muž", "Žena")</f>
        <v>Muž</v>
      </c>
      <c r="H190" s="9">
        <v>189</v>
      </c>
      <c r="I190" s="9" t="s">
        <v>67</v>
      </c>
      <c r="J190" t="str">
        <f t="shared" si="2"/>
        <v>Jan Němeček</v>
      </c>
    </row>
    <row r="191" spans="1:10" ht="14.4" x14ac:dyDescent="0.3">
      <c r="A191" s="9" t="s">
        <v>239</v>
      </c>
      <c r="B191" s="9" t="s">
        <v>520</v>
      </c>
      <c r="C191" s="9" t="s">
        <v>70</v>
      </c>
      <c r="D191" s="10">
        <v>37517</v>
      </c>
      <c r="E191" s="9" t="s">
        <v>521</v>
      </c>
      <c r="F191" s="9" t="s">
        <v>72</v>
      </c>
      <c r="G191" s="9" t="str">
        <f>IF(Table1[[#This Row],[POHLAVI]]="M","Muž", "Žena")</f>
        <v>Žena</v>
      </c>
      <c r="H191" s="9">
        <v>190</v>
      </c>
      <c r="I191" s="9" t="s">
        <v>67</v>
      </c>
      <c r="J191" t="str">
        <f t="shared" si="2"/>
        <v>Adéla Novotná</v>
      </c>
    </row>
    <row r="192" spans="1:10" ht="14.4" x14ac:dyDescent="0.3">
      <c r="A192" s="9" t="s">
        <v>148</v>
      </c>
      <c r="B192" s="9" t="s">
        <v>522</v>
      </c>
      <c r="C192" s="9" t="s">
        <v>70</v>
      </c>
      <c r="D192" s="10">
        <v>37721</v>
      </c>
      <c r="E192" s="9" t="s">
        <v>523</v>
      </c>
      <c r="F192" s="9" t="s">
        <v>66</v>
      </c>
      <c r="G192" s="9" t="str">
        <f>IF(Table1[[#This Row],[POHLAVI]]="M","Muž", "Žena")</f>
        <v>Muž</v>
      </c>
      <c r="H192" s="9">
        <v>191</v>
      </c>
      <c r="I192" s="9" t="s">
        <v>67</v>
      </c>
      <c r="J192" t="str">
        <f t="shared" si="2"/>
        <v>Daniel Pelikán</v>
      </c>
    </row>
    <row r="193" spans="1:10" ht="14.4" x14ac:dyDescent="0.3">
      <c r="A193" s="9" t="s">
        <v>354</v>
      </c>
      <c r="B193" s="9" t="s">
        <v>524</v>
      </c>
      <c r="C193" s="9" t="s">
        <v>70</v>
      </c>
      <c r="D193" s="10">
        <v>37567</v>
      </c>
      <c r="E193" s="9" t="s">
        <v>525</v>
      </c>
      <c r="F193" s="9" t="s">
        <v>66</v>
      </c>
      <c r="G193" s="9" t="str">
        <f>IF(Table1[[#This Row],[POHLAVI]]="M","Muž", "Žena")</f>
        <v>Muž</v>
      </c>
      <c r="H193" s="9">
        <v>192</v>
      </c>
      <c r="I193" s="9" t="s">
        <v>67</v>
      </c>
      <c r="J193" t="str">
        <f t="shared" si="2"/>
        <v>Šimon Peňáz</v>
      </c>
    </row>
    <row r="194" spans="1:10" ht="14.4" x14ac:dyDescent="0.3">
      <c r="A194" s="9" t="s">
        <v>526</v>
      </c>
      <c r="B194" s="9" t="s">
        <v>527</v>
      </c>
      <c r="C194" s="9" t="s">
        <v>70</v>
      </c>
      <c r="D194" s="10">
        <v>37428</v>
      </c>
      <c r="E194" s="9" t="s">
        <v>528</v>
      </c>
      <c r="F194" s="9" t="s">
        <v>72</v>
      </c>
      <c r="G194" s="9" t="str">
        <f>IF(Table1[[#This Row],[POHLAVI]]="M","Muž", "Žena")</f>
        <v>Žena</v>
      </c>
      <c r="H194" s="9">
        <v>193</v>
      </c>
      <c r="I194" s="9" t="s">
        <v>67</v>
      </c>
      <c r="J194" t="str">
        <f t="shared" si="2"/>
        <v>Beáta Podařilová</v>
      </c>
    </row>
    <row r="195" spans="1:10" ht="14.4" x14ac:dyDescent="0.3">
      <c r="A195" s="9" t="s">
        <v>529</v>
      </c>
      <c r="B195" s="9" t="s">
        <v>527</v>
      </c>
      <c r="C195" s="9" t="s">
        <v>70</v>
      </c>
      <c r="D195" s="10">
        <v>37784</v>
      </c>
      <c r="E195" s="9" t="s">
        <v>530</v>
      </c>
      <c r="F195" s="9" t="s">
        <v>72</v>
      </c>
      <c r="G195" s="9" t="str">
        <f>IF(Table1[[#This Row],[POHLAVI]]="M","Muž", "Žena")</f>
        <v>Žena</v>
      </c>
      <c r="H195" s="9">
        <v>194</v>
      </c>
      <c r="I195" s="9" t="s">
        <v>67</v>
      </c>
      <c r="J195" t="str">
        <f t="shared" ref="J195:J258" si="3">_xlfn.TEXTJOIN(" ",1,$A195:$B195)</f>
        <v>Berenika Podařilová</v>
      </c>
    </row>
    <row r="196" spans="1:10" ht="14.4" x14ac:dyDescent="0.3">
      <c r="A196" s="9" t="s">
        <v>133</v>
      </c>
      <c r="B196" s="9" t="s">
        <v>531</v>
      </c>
      <c r="C196" s="9" t="s">
        <v>70</v>
      </c>
      <c r="D196" s="10">
        <v>37407</v>
      </c>
      <c r="E196" s="9" t="s">
        <v>532</v>
      </c>
      <c r="F196" s="9" t="s">
        <v>72</v>
      </c>
      <c r="G196" s="9" t="str">
        <f>IF(Table1[[#This Row],[POHLAVI]]="M","Muž", "Žena")</f>
        <v>Žena</v>
      </c>
      <c r="H196" s="9">
        <v>195</v>
      </c>
      <c r="I196" s="9" t="s">
        <v>67</v>
      </c>
      <c r="J196" t="str">
        <f t="shared" si="3"/>
        <v>Tereza Svobodová</v>
      </c>
    </row>
    <row r="197" spans="1:10" ht="14.4" x14ac:dyDescent="0.3">
      <c r="A197" s="9" t="s">
        <v>148</v>
      </c>
      <c r="B197" s="9" t="s">
        <v>533</v>
      </c>
      <c r="C197" s="9" t="s">
        <v>70</v>
      </c>
      <c r="D197" s="10">
        <v>37699</v>
      </c>
      <c r="E197" s="9" t="s">
        <v>534</v>
      </c>
      <c r="F197" s="9" t="s">
        <v>66</v>
      </c>
      <c r="G197" s="9" t="str">
        <f>IF(Table1[[#This Row],[POHLAVI]]="M","Muž", "Žena")</f>
        <v>Muž</v>
      </c>
      <c r="H197" s="9">
        <v>196</v>
      </c>
      <c r="I197" s="9" t="s">
        <v>67</v>
      </c>
      <c r="J197" t="str">
        <f t="shared" si="3"/>
        <v>Daniel Šípek</v>
      </c>
    </row>
    <row r="198" spans="1:10" ht="14.4" x14ac:dyDescent="0.3">
      <c r="A198" s="9" t="s">
        <v>203</v>
      </c>
      <c r="B198" s="9" t="s">
        <v>535</v>
      </c>
      <c r="C198" s="9" t="s">
        <v>536</v>
      </c>
      <c r="D198" s="10">
        <v>37581</v>
      </c>
      <c r="E198" s="9" t="s">
        <v>537</v>
      </c>
      <c r="F198" s="9" t="s">
        <v>72</v>
      </c>
      <c r="G198" s="9" t="str">
        <f>IF(Table1[[#This Row],[POHLAVI]]="M","Muž", "Žena")</f>
        <v>Žena</v>
      </c>
      <c r="H198" s="9">
        <v>197</v>
      </c>
      <c r="I198" s="9" t="s">
        <v>67</v>
      </c>
      <c r="J198" t="str">
        <f t="shared" si="3"/>
        <v>Veronika Šolcová</v>
      </c>
    </row>
    <row r="199" spans="1:10" ht="14.4" x14ac:dyDescent="0.3">
      <c r="A199" s="9" t="s">
        <v>386</v>
      </c>
      <c r="B199" s="9" t="s">
        <v>538</v>
      </c>
      <c r="C199" s="9" t="s">
        <v>229</v>
      </c>
      <c r="D199" s="10">
        <v>37718</v>
      </c>
      <c r="E199" s="9" t="s">
        <v>539</v>
      </c>
      <c r="F199" s="9" t="s">
        <v>66</v>
      </c>
      <c r="G199" s="9" t="str">
        <f>IF(Table1[[#This Row],[POHLAVI]]="M","Muž", "Žena")</f>
        <v>Muž</v>
      </c>
      <c r="H199" s="9">
        <v>198</v>
      </c>
      <c r="I199" s="9" t="s">
        <v>80</v>
      </c>
      <c r="J199" t="str">
        <f t="shared" si="3"/>
        <v>Michal Šrámek</v>
      </c>
    </row>
    <row r="200" spans="1:10" ht="14.4" x14ac:dyDescent="0.3">
      <c r="A200" s="9" t="s">
        <v>139</v>
      </c>
      <c r="B200" s="9" t="s">
        <v>540</v>
      </c>
      <c r="C200" s="9" t="s">
        <v>70</v>
      </c>
      <c r="D200" s="10">
        <v>37718</v>
      </c>
      <c r="E200" s="9" t="s">
        <v>541</v>
      </c>
      <c r="F200" s="9" t="s">
        <v>66</v>
      </c>
      <c r="G200" s="9" t="str">
        <f>IF(Table1[[#This Row],[POHLAVI]]="M","Muž", "Žena")</f>
        <v>Muž</v>
      </c>
      <c r="H200" s="9">
        <v>199</v>
      </c>
      <c r="I200" s="9" t="s">
        <v>67</v>
      </c>
      <c r="J200" t="str">
        <f t="shared" si="3"/>
        <v>Josef Trödler</v>
      </c>
    </row>
    <row r="201" spans="1:10" ht="14.4" x14ac:dyDescent="0.3">
      <c r="A201" s="9" t="s">
        <v>258</v>
      </c>
      <c r="B201" s="9" t="s">
        <v>542</v>
      </c>
      <c r="C201" s="9" t="s">
        <v>70</v>
      </c>
      <c r="D201" s="10">
        <v>37447</v>
      </c>
      <c r="E201" s="9" t="s">
        <v>543</v>
      </c>
      <c r="F201" s="9" t="s">
        <v>72</v>
      </c>
      <c r="G201" s="9" t="str">
        <f>IF(Table1[[#This Row],[POHLAVI]]="M","Muž", "Žena")</f>
        <v>Žena</v>
      </c>
      <c r="H201" s="9">
        <v>200</v>
      </c>
      <c r="I201" s="9" t="s">
        <v>67</v>
      </c>
      <c r="J201" t="str">
        <f t="shared" si="3"/>
        <v>Karolína Večeřová</v>
      </c>
    </row>
    <row r="202" spans="1:10" ht="14.4" x14ac:dyDescent="0.3">
      <c r="A202" s="9" t="s">
        <v>321</v>
      </c>
      <c r="B202" s="9" t="s">
        <v>544</v>
      </c>
      <c r="C202" s="9" t="s">
        <v>70</v>
      </c>
      <c r="D202" s="10">
        <v>37503</v>
      </c>
      <c r="E202" s="9" t="s">
        <v>545</v>
      </c>
      <c r="F202" s="9" t="s">
        <v>72</v>
      </c>
      <c r="G202" s="9" t="str">
        <f>IF(Table1[[#This Row],[POHLAVI]]="M","Muž", "Žena")</f>
        <v>Žena</v>
      </c>
      <c r="H202" s="9">
        <v>201</v>
      </c>
      <c r="I202" s="9" t="s">
        <v>67</v>
      </c>
      <c r="J202" t="str">
        <f t="shared" si="3"/>
        <v>Denisa Vincenci</v>
      </c>
    </row>
    <row r="203" spans="1:10" ht="14.4" x14ac:dyDescent="0.3">
      <c r="A203" s="9" t="s">
        <v>255</v>
      </c>
      <c r="B203" s="9" t="s">
        <v>546</v>
      </c>
      <c r="C203" s="9" t="s">
        <v>70</v>
      </c>
      <c r="D203" s="10">
        <v>37826</v>
      </c>
      <c r="E203" s="9" t="s">
        <v>547</v>
      </c>
      <c r="F203" s="9" t="s">
        <v>72</v>
      </c>
      <c r="G203" s="9" t="str">
        <f>IF(Table1[[#This Row],[POHLAVI]]="M","Muž", "Žena")</f>
        <v>Žena</v>
      </c>
      <c r="H203" s="9">
        <v>202</v>
      </c>
      <c r="I203" s="9" t="s">
        <v>67</v>
      </c>
      <c r="J203" t="str">
        <f t="shared" si="3"/>
        <v>Aneta Košťálová</v>
      </c>
    </row>
    <row r="204" spans="1:10" ht="14.4" x14ac:dyDescent="0.3">
      <c r="A204" s="9" t="s">
        <v>169</v>
      </c>
      <c r="B204" s="9" t="s">
        <v>548</v>
      </c>
      <c r="C204" s="9" t="s">
        <v>70</v>
      </c>
      <c r="D204" s="10">
        <v>37618</v>
      </c>
      <c r="E204" s="9" t="s">
        <v>549</v>
      </c>
      <c r="F204" s="9" t="s">
        <v>72</v>
      </c>
      <c r="G204" s="9" t="str">
        <f>IF(Table1[[#This Row],[POHLAVI]]="M","Muž", "Žena")</f>
        <v>Žena</v>
      </c>
      <c r="H204" s="9">
        <v>203</v>
      </c>
      <c r="I204" s="9" t="s">
        <v>67</v>
      </c>
      <c r="J204" t="str">
        <f t="shared" si="3"/>
        <v>Monika Ločárková</v>
      </c>
    </row>
    <row r="205" spans="1:10" ht="14.4" x14ac:dyDescent="0.3">
      <c r="A205" s="9" t="s">
        <v>550</v>
      </c>
      <c r="B205" s="9" t="s">
        <v>515</v>
      </c>
      <c r="C205" s="9" t="s">
        <v>70</v>
      </c>
      <c r="D205" s="10">
        <v>37462</v>
      </c>
      <c r="E205" s="9" t="s">
        <v>551</v>
      </c>
      <c r="F205" s="9" t="s">
        <v>72</v>
      </c>
      <c r="G205" s="9" t="str">
        <f>IF(Table1[[#This Row],[POHLAVI]]="M","Muž", "Žena")</f>
        <v>Žena</v>
      </c>
      <c r="H205" s="9">
        <v>204</v>
      </c>
      <c r="I205" s="9" t="s">
        <v>67</v>
      </c>
      <c r="J205" t="str">
        <f t="shared" si="3"/>
        <v>Božena Mrázková</v>
      </c>
    </row>
    <row r="206" spans="1:10" ht="14.4" x14ac:dyDescent="0.3">
      <c r="A206" s="9" t="s">
        <v>552</v>
      </c>
      <c r="B206" s="9" t="s">
        <v>553</v>
      </c>
      <c r="C206" s="9" t="s">
        <v>70</v>
      </c>
      <c r="D206" s="10">
        <v>37714</v>
      </c>
      <c r="E206" s="9" t="s">
        <v>554</v>
      </c>
      <c r="F206" s="9" t="s">
        <v>72</v>
      </c>
      <c r="G206" s="9" t="str">
        <f>IF(Table1[[#This Row],[POHLAVI]]="M","Muž", "Žena")</f>
        <v>Žena</v>
      </c>
      <c r="H206" s="9">
        <v>205</v>
      </c>
      <c r="I206" s="9" t="s">
        <v>67</v>
      </c>
      <c r="J206" t="str">
        <f t="shared" si="3"/>
        <v>Josefína Teclová</v>
      </c>
    </row>
    <row r="207" spans="1:10" ht="14.4" x14ac:dyDescent="0.3">
      <c r="A207" s="9" t="s">
        <v>555</v>
      </c>
      <c r="B207" s="9" t="s">
        <v>556</v>
      </c>
      <c r="C207" s="9" t="s">
        <v>70</v>
      </c>
      <c r="D207" s="10">
        <v>37575</v>
      </c>
      <c r="E207" s="9" t="s">
        <v>557</v>
      </c>
      <c r="F207" s="9" t="s">
        <v>72</v>
      </c>
      <c r="G207" s="9" t="str">
        <f>IF(Table1[[#This Row],[POHLAVI]]="M","Muž", "Žena")</f>
        <v>Žena</v>
      </c>
      <c r="H207" s="9">
        <v>206</v>
      </c>
      <c r="I207" s="9" t="s">
        <v>80</v>
      </c>
      <c r="J207" t="str">
        <f t="shared" si="3"/>
        <v>Nikol Dítětová</v>
      </c>
    </row>
    <row r="208" spans="1:10" ht="14.4" x14ac:dyDescent="0.3">
      <c r="A208" s="9" t="s">
        <v>139</v>
      </c>
      <c r="B208" s="9" t="s">
        <v>558</v>
      </c>
      <c r="C208" s="9" t="s">
        <v>70</v>
      </c>
      <c r="D208" s="10">
        <v>37567</v>
      </c>
      <c r="E208" s="9" t="s">
        <v>559</v>
      </c>
      <c r="F208" s="9" t="s">
        <v>66</v>
      </c>
      <c r="G208" s="9" t="str">
        <f>IF(Table1[[#This Row],[POHLAVI]]="M","Muž", "Žena")</f>
        <v>Muž</v>
      </c>
      <c r="H208" s="9">
        <v>207</v>
      </c>
      <c r="I208" s="9" t="s">
        <v>67</v>
      </c>
      <c r="J208" t="str">
        <f t="shared" si="3"/>
        <v>Josef Dostál</v>
      </c>
    </row>
    <row r="209" spans="1:10" ht="14.4" x14ac:dyDescent="0.3">
      <c r="A209" s="9" t="s">
        <v>288</v>
      </c>
      <c r="B209" s="9" t="s">
        <v>560</v>
      </c>
      <c r="C209" s="9" t="s">
        <v>70</v>
      </c>
      <c r="D209" s="10">
        <v>37789</v>
      </c>
      <c r="E209" s="9" t="s">
        <v>561</v>
      </c>
      <c r="F209" s="9" t="s">
        <v>66</v>
      </c>
      <c r="G209" s="9" t="str">
        <f>IF(Table1[[#This Row],[POHLAVI]]="M","Muž", "Žena")</f>
        <v>Muž</v>
      </c>
      <c r="H209" s="9">
        <v>208</v>
      </c>
      <c r="I209" s="9" t="s">
        <v>67</v>
      </c>
      <c r="J209" t="str">
        <f t="shared" si="3"/>
        <v>Filip Drdla</v>
      </c>
    </row>
    <row r="210" spans="1:10" ht="14.4" x14ac:dyDescent="0.3">
      <c r="A210" s="9" t="s">
        <v>106</v>
      </c>
      <c r="B210" s="9" t="s">
        <v>562</v>
      </c>
      <c r="C210" s="9" t="s">
        <v>70</v>
      </c>
      <c r="D210" s="10">
        <v>37783</v>
      </c>
      <c r="E210" s="9" t="s">
        <v>563</v>
      </c>
      <c r="F210" s="9" t="s">
        <v>66</v>
      </c>
      <c r="G210" s="9" t="str">
        <f>IF(Table1[[#This Row],[POHLAVI]]="M","Muž", "Žena")</f>
        <v>Muž</v>
      </c>
      <c r="H210" s="9">
        <v>209</v>
      </c>
      <c r="I210" s="9" t="s">
        <v>67</v>
      </c>
      <c r="J210" t="str">
        <f t="shared" si="3"/>
        <v>Vojtěch Filipi</v>
      </c>
    </row>
    <row r="211" spans="1:10" ht="14.4" x14ac:dyDescent="0.3">
      <c r="A211" s="9" t="s">
        <v>195</v>
      </c>
      <c r="B211" s="9" t="s">
        <v>564</v>
      </c>
      <c r="C211" s="9" t="s">
        <v>70</v>
      </c>
      <c r="D211" s="10">
        <v>37625</v>
      </c>
      <c r="E211" s="9" t="s">
        <v>565</v>
      </c>
      <c r="F211" s="9" t="s">
        <v>72</v>
      </c>
      <c r="G211" s="9" t="str">
        <f>IF(Table1[[#This Row],[POHLAVI]]="M","Muž", "Žena")</f>
        <v>Žena</v>
      </c>
      <c r="H211" s="9">
        <v>210</v>
      </c>
      <c r="I211" s="9" t="s">
        <v>67</v>
      </c>
      <c r="J211" t="str">
        <f t="shared" si="3"/>
        <v>Nina Hájková</v>
      </c>
    </row>
    <row r="212" spans="1:10" ht="14.4" x14ac:dyDescent="0.3">
      <c r="A212" s="9" t="s">
        <v>133</v>
      </c>
      <c r="B212" s="9" t="s">
        <v>566</v>
      </c>
      <c r="C212" s="9" t="s">
        <v>70</v>
      </c>
      <c r="D212" s="10">
        <v>37401</v>
      </c>
      <c r="E212" s="9" t="s">
        <v>567</v>
      </c>
      <c r="F212" s="9" t="s">
        <v>72</v>
      </c>
      <c r="G212" s="9" t="str">
        <f>IF(Table1[[#This Row],[POHLAVI]]="M","Muž", "Žena")</f>
        <v>Žena</v>
      </c>
      <c r="H212" s="9">
        <v>211</v>
      </c>
      <c r="I212" s="9" t="s">
        <v>67</v>
      </c>
      <c r="J212" t="str">
        <f t="shared" si="3"/>
        <v>Tereza Halová</v>
      </c>
    </row>
    <row r="213" spans="1:10" ht="14.4" x14ac:dyDescent="0.3">
      <c r="A213" s="9" t="s">
        <v>436</v>
      </c>
      <c r="B213" s="9" t="s">
        <v>204</v>
      </c>
      <c r="C213" s="9" t="s">
        <v>70</v>
      </c>
      <c r="D213" s="10">
        <v>37145</v>
      </c>
      <c r="E213" s="9" t="s">
        <v>568</v>
      </c>
      <c r="F213" s="9" t="s">
        <v>72</v>
      </c>
      <c r="G213" s="9" t="str">
        <f>IF(Table1[[#This Row],[POHLAVI]]="M","Muž", "Žena")</f>
        <v>Žena</v>
      </c>
      <c r="H213" s="9">
        <v>212</v>
      </c>
      <c r="I213" s="9" t="s">
        <v>67</v>
      </c>
      <c r="J213" t="str">
        <f t="shared" si="3"/>
        <v>Lucie Hlaváčová</v>
      </c>
    </row>
    <row r="214" spans="1:10" ht="14.4" x14ac:dyDescent="0.3">
      <c r="A214" s="9" t="s">
        <v>569</v>
      </c>
      <c r="B214" s="9" t="s">
        <v>570</v>
      </c>
      <c r="C214" s="9" t="s">
        <v>70</v>
      </c>
      <c r="D214" s="10">
        <v>37231</v>
      </c>
      <c r="E214" s="9" t="s">
        <v>571</v>
      </c>
      <c r="F214" s="9" t="s">
        <v>72</v>
      </c>
      <c r="G214" s="9" t="str">
        <f>IF(Table1[[#This Row],[POHLAVI]]="M","Muž", "Žena")</f>
        <v>Žena</v>
      </c>
      <c r="H214" s="9">
        <v>213</v>
      </c>
      <c r="I214" s="9" t="s">
        <v>67</v>
      </c>
      <c r="J214" t="str">
        <f t="shared" si="3"/>
        <v>Terezie Charvátová</v>
      </c>
    </row>
    <row r="215" spans="1:10" ht="14.4" x14ac:dyDescent="0.3">
      <c r="A215" s="9" t="s">
        <v>572</v>
      </c>
      <c r="B215" s="9" t="s">
        <v>406</v>
      </c>
      <c r="C215" s="9" t="s">
        <v>70</v>
      </c>
      <c r="D215" s="10">
        <v>37161</v>
      </c>
      <c r="E215" s="9" t="s">
        <v>573</v>
      </c>
      <c r="F215" s="9" t="s">
        <v>72</v>
      </c>
      <c r="G215" s="9" t="str">
        <f>IF(Table1[[#This Row],[POHLAVI]]="M","Muž", "Žena")</f>
        <v>Žena</v>
      </c>
      <c r="H215" s="9">
        <v>214</v>
      </c>
      <c r="I215" s="9" t="s">
        <v>67</v>
      </c>
      <c r="J215" t="str">
        <f t="shared" si="3"/>
        <v>Kristýna Janečková</v>
      </c>
    </row>
    <row r="216" spans="1:10" ht="14.4" x14ac:dyDescent="0.3">
      <c r="A216" s="9" t="s">
        <v>236</v>
      </c>
      <c r="B216" s="9" t="s">
        <v>82</v>
      </c>
      <c r="C216" s="9" t="s">
        <v>70</v>
      </c>
      <c r="D216" s="10">
        <v>37320</v>
      </c>
      <c r="E216" s="9" t="s">
        <v>574</v>
      </c>
      <c r="F216" s="9" t="s">
        <v>66</v>
      </c>
      <c r="G216" s="9" t="str">
        <f>IF(Table1[[#This Row],[POHLAVI]]="M","Muž", "Žena")</f>
        <v>Muž</v>
      </c>
      <c r="H216" s="9">
        <v>215</v>
      </c>
      <c r="I216" s="9" t="s">
        <v>67</v>
      </c>
      <c r="J216" t="str">
        <f t="shared" si="3"/>
        <v>Jaroslav Janů</v>
      </c>
    </row>
    <row r="217" spans="1:10" ht="14.4" x14ac:dyDescent="0.3">
      <c r="A217" s="9" t="s">
        <v>178</v>
      </c>
      <c r="B217" s="9" t="s">
        <v>575</v>
      </c>
      <c r="C217" s="9" t="s">
        <v>70</v>
      </c>
      <c r="D217" s="10">
        <v>37442</v>
      </c>
      <c r="E217" s="9" t="s">
        <v>576</v>
      </c>
      <c r="F217" s="9" t="s">
        <v>66</v>
      </c>
      <c r="G217" s="9" t="str">
        <f>IF(Table1[[#This Row],[POHLAVI]]="M","Muž", "Žena")</f>
        <v>Muž</v>
      </c>
      <c r="H217" s="9">
        <v>216</v>
      </c>
      <c r="I217" s="9" t="s">
        <v>67</v>
      </c>
      <c r="J217" t="str">
        <f t="shared" si="3"/>
        <v>Marek Jež</v>
      </c>
    </row>
    <row r="218" spans="1:10" ht="14.4" x14ac:dyDescent="0.3">
      <c r="A218" s="9" t="s">
        <v>501</v>
      </c>
      <c r="B218" s="9" t="s">
        <v>577</v>
      </c>
      <c r="C218" s="9" t="s">
        <v>70</v>
      </c>
      <c r="D218" s="10">
        <v>37445</v>
      </c>
      <c r="E218" s="9" t="s">
        <v>578</v>
      </c>
      <c r="F218" s="9" t="s">
        <v>66</v>
      </c>
      <c r="G218" s="9" t="str">
        <f>IF(Table1[[#This Row],[POHLAVI]]="M","Muž", "Žena")</f>
        <v>Muž</v>
      </c>
      <c r="H218" s="9">
        <v>217</v>
      </c>
      <c r="I218" s="9" t="s">
        <v>67</v>
      </c>
      <c r="J218" t="str">
        <f t="shared" si="3"/>
        <v>Radek Jinek</v>
      </c>
    </row>
    <row r="219" spans="1:10" ht="14.4" x14ac:dyDescent="0.3">
      <c r="A219" s="9" t="s">
        <v>579</v>
      </c>
      <c r="B219" s="9" t="s">
        <v>506</v>
      </c>
      <c r="C219" s="9" t="s">
        <v>580</v>
      </c>
      <c r="D219" s="10">
        <v>37074</v>
      </c>
      <c r="E219" s="9" t="s">
        <v>581</v>
      </c>
      <c r="F219" s="9" t="s">
        <v>66</v>
      </c>
      <c r="G219" s="9" t="str">
        <f>IF(Table1[[#This Row],[POHLAVI]]="M","Muž", "Žena")</f>
        <v>Muž</v>
      </c>
      <c r="H219" s="9">
        <v>218</v>
      </c>
      <c r="I219" s="9" t="s">
        <v>67</v>
      </c>
      <c r="J219" t="str">
        <f t="shared" si="3"/>
        <v>František Krejčí</v>
      </c>
    </row>
    <row r="220" spans="1:10" ht="14.4" x14ac:dyDescent="0.3">
      <c r="A220" s="9" t="s">
        <v>582</v>
      </c>
      <c r="B220" s="9" t="s">
        <v>506</v>
      </c>
      <c r="C220" s="9" t="s">
        <v>70</v>
      </c>
      <c r="D220" s="10">
        <v>37426</v>
      </c>
      <c r="E220" s="9" t="s">
        <v>583</v>
      </c>
      <c r="F220" s="9" t="s">
        <v>72</v>
      </c>
      <c r="G220" s="9" t="str">
        <f>IF(Table1[[#This Row],[POHLAVI]]="M","Muž", "Žena")</f>
        <v>Žena</v>
      </c>
      <c r="H220" s="9">
        <v>219</v>
      </c>
      <c r="I220" s="9" t="s">
        <v>67</v>
      </c>
      <c r="J220" t="str">
        <f t="shared" si="3"/>
        <v>Iveta Krejčí</v>
      </c>
    </row>
    <row r="221" spans="1:10" ht="14.4" x14ac:dyDescent="0.3">
      <c r="A221" s="9" t="s">
        <v>136</v>
      </c>
      <c r="B221" s="9" t="s">
        <v>584</v>
      </c>
      <c r="C221" s="9" t="s">
        <v>70</v>
      </c>
      <c r="D221" s="10">
        <v>37314</v>
      </c>
      <c r="E221" s="9" t="s">
        <v>585</v>
      </c>
      <c r="F221" s="9" t="s">
        <v>66</v>
      </c>
      <c r="G221" s="9" t="str">
        <f>IF(Table1[[#This Row],[POHLAVI]]="M","Muž", "Žena")</f>
        <v>Muž</v>
      </c>
      <c r="H221" s="9">
        <v>220</v>
      </c>
      <c r="I221" s="9" t="s">
        <v>67</v>
      </c>
      <c r="J221" t="str">
        <f t="shared" si="3"/>
        <v>Jan Lukeš</v>
      </c>
    </row>
    <row r="222" spans="1:10" ht="14.4" x14ac:dyDescent="0.3">
      <c r="A222" s="9" t="s">
        <v>114</v>
      </c>
      <c r="B222" s="9" t="s">
        <v>586</v>
      </c>
      <c r="C222" s="9" t="s">
        <v>70</v>
      </c>
      <c r="D222" s="10">
        <v>37052</v>
      </c>
      <c r="E222" s="9" t="s">
        <v>587</v>
      </c>
      <c r="F222" s="9" t="s">
        <v>66</v>
      </c>
      <c r="G222" s="9" t="str">
        <f>IF(Table1[[#This Row],[POHLAVI]]="M","Muž", "Žena")</f>
        <v>Muž</v>
      </c>
      <c r="H222" s="9">
        <v>221</v>
      </c>
      <c r="I222" s="9" t="s">
        <v>80</v>
      </c>
      <c r="J222" t="str">
        <f t="shared" si="3"/>
        <v>David Mužátko</v>
      </c>
    </row>
    <row r="223" spans="1:10" ht="14.4" x14ac:dyDescent="0.3">
      <c r="A223" s="9" t="s">
        <v>588</v>
      </c>
      <c r="B223" s="9" t="s">
        <v>589</v>
      </c>
      <c r="C223" s="9" t="s">
        <v>70</v>
      </c>
      <c r="D223" s="10">
        <v>37439</v>
      </c>
      <c r="E223" s="9" t="s">
        <v>590</v>
      </c>
      <c r="F223" s="9" t="s">
        <v>72</v>
      </c>
      <c r="G223" s="9" t="str">
        <f>IF(Table1[[#This Row],[POHLAVI]]="M","Muž", "Žena")</f>
        <v>Žena</v>
      </c>
      <c r="H223" s="9">
        <v>222</v>
      </c>
      <c r="I223" s="9" t="s">
        <v>67</v>
      </c>
      <c r="J223" t="str">
        <f t="shared" si="3"/>
        <v>Vanessa Pejchlová</v>
      </c>
    </row>
    <row r="224" spans="1:10" ht="14.4" x14ac:dyDescent="0.3">
      <c r="A224" s="9" t="s">
        <v>591</v>
      </c>
      <c r="B224" s="9" t="s">
        <v>592</v>
      </c>
      <c r="C224" s="9" t="s">
        <v>70</v>
      </c>
      <c r="D224" s="10">
        <v>37056</v>
      </c>
      <c r="E224" s="9" t="s">
        <v>593</v>
      </c>
      <c r="F224" s="9" t="s">
        <v>72</v>
      </c>
      <c r="G224" s="9" t="str">
        <f>IF(Table1[[#This Row],[POHLAVI]]="M","Muž", "Žena")</f>
        <v>Žena</v>
      </c>
      <c r="H224" s="9">
        <v>223</v>
      </c>
      <c r="I224" s="9" t="s">
        <v>67</v>
      </c>
      <c r="J224" t="str">
        <f t="shared" si="3"/>
        <v>Jarmila Příhodová</v>
      </c>
    </row>
    <row r="225" spans="1:10" ht="14.4" x14ac:dyDescent="0.3">
      <c r="A225" s="9" t="s">
        <v>133</v>
      </c>
      <c r="B225" s="9" t="s">
        <v>594</v>
      </c>
      <c r="C225" s="9" t="s">
        <v>70</v>
      </c>
      <c r="D225" s="10">
        <v>37092</v>
      </c>
      <c r="E225" s="9" t="s">
        <v>595</v>
      </c>
      <c r="F225" s="9" t="s">
        <v>72</v>
      </c>
      <c r="G225" s="9" t="str">
        <f>IF(Table1[[#This Row],[POHLAVI]]="M","Muž", "Žena")</f>
        <v>Žena</v>
      </c>
      <c r="H225" s="9">
        <v>224</v>
      </c>
      <c r="I225" s="9" t="s">
        <v>67</v>
      </c>
      <c r="J225" t="str">
        <f t="shared" si="3"/>
        <v>Tereza Rovenská</v>
      </c>
    </row>
    <row r="226" spans="1:10" ht="14.4" x14ac:dyDescent="0.3">
      <c r="A226" s="9" t="s">
        <v>127</v>
      </c>
      <c r="B226" s="9" t="s">
        <v>596</v>
      </c>
      <c r="C226" s="9" t="s">
        <v>70</v>
      </c>
      <c r="D226" s="10">
        <v>37275</v>
      </c>
      <c r="E226" s="9" t="s">
        <v>597</v>
      </c>
      <c r="F226" s="9" t="s">
        <v>66</v>
      </c>
      <c r="G226" s="9" t="str">
        <f>IF(Table1[[#This Row],[POHLAVI]]="M","Muž", "Žena")</f>
        <v>Muž</v>
      </c>
      <c r="H226" s="9">
        <v>225</v>
      </c>
      <c r="I226" s="9" t="s">
        <v>67</v>
      </c>
      <c r="J226" t="str">
        <f t="shared" si="3"/>
        <v>Martin Skoumal</v>
      </c>
    </row>
    <row r="227" spans="1:10" ht="14.4" x14ac:dyDescent="0.3">
      <c r="A227" s="9" t="s">
        <v>288</v>
      </c>
      <c r="B227" s="9" t="s">
        <v>181</v>
      </c>
      <c r="C227" s="9" t="s">
        <v>70</v>
      </c>
      <c r="D227" s="10">
        <v>37295</v>
      </c>
      <c r="E227" s="9" t="s">
        <v>598</v>
      </c>
      <c r="F227" s="9" t="s">
        <v>66</v>
      </c>
      <c r="G227" s="9" t="str">
        <f>IF(Table1[[#This Row],[POHLAVI]]="M","Muž", "Žena")</f>
        <v>Muž</v>
      </c>
      <c r="H227" s="9">
        <v>226</v>
      </c>
      <c r="I227" s="9" t="s">
        <v>67</v>
      </c>
      <c r="J227" t="str">
        <f t="shared" si="3"/>
        <v>Filip Sláma</v>
      </c>
    </row>
    <row r="228" spans="1:10" ht="14.4" x14ac:dyDescent="0.3">
      <c r="A228" s="9" t="s">
        <v>599</v>
      </c>
      <c r="B228" s="9" t="s">
        <v>600</v>
      </c>
      <c r="C228" s="9" t="s">
        <v>601</v>
      </c>
      <c r="D228" s="10">
        <v>37088</v>
      </c>
      <c r="E228" s="9" t="s">
        <v>602</v>
      </c>
      <c r="F228" s="9" t="s">
        <v>66</v>
      </c>
      <c r="G228" s="9" t="str">
        <f>IF(Table1[[#This Row],[POHLAVI]]="M","Muž", "Žena")</f>
        <v>Muž</v>
      </c>
      <c r="H228" s="9">
        <v>227</v>
      </c>
      <c r="I228" s="9" t="s">
        <v>80</v>
      </c>
      <c r="J228" t="str">
        <f t="shared" si="3"/>
        <v>Roman Svoboda</v>
      </c>
    </row>
    <row r="229" spans="1:10" ht="14.4" x14ac:dyDescent="0.3">
      <c r="A229" s="9" t="s">
        <v>106</v>
      </c>
      <c r="B229" s="9" t="s">
        <v>603</v>
      </c>
      <c r="C229" s="9" t="s">
        <v>70</v>
      </c>
      <c r="D229" s="10">
        <v>37314</v>
      </c>
      <c r="E229" s="9" t="s">
        <v>604</v>
      </c>
      <c r="F229" s="9" t="s">
        <v>66</v>
      </c>
      <c r="G229" s="9" t="str">
        <f>IF(Table1[[#This Row],[POHLAVI]]="M","Muž", "Žena")</f>
        <v>Muž</v>
      </c>
      <c r="H229" s="9">
        <v>228</v>
      </c>
      <c r="I229" s="9" t="s">
        <v>67</v>
      </c>
      <c r="J229" t="str">
        <f t="shared" si="3"/>
        <v>Vojtěch Šustr</v>
      </c>
    </row>
    <row r="230" spans="1:10" ht="14.4" x14ac:dyDescent="0.3">
      <c r="A230" s="9" t="s">
        <v>136</v>
      </c>
      <c r="B230" s="9" t="s">
        <v>605</v>
      </c>
      <c r="C230" s="9" t="s">
        <v>70</v>
      </c>
      <c r="D230" s="10">
        <v>37235</v>
      </c>
      <c r="E230" s="9" t="s">
        <v>606</v>
      </c>
      <c r="F230" s="9" t="s">
        <v>66</v>
      </c>
      <c r="G230" s="9" t="str">
        <f>IF(Table1[[#This Row],[POHLAVI]]="M","Muž", "Žena")</f>
        <v>Muž</v>
      </c>
      <c r="H230" s="9">
        <v>229</v>
      </c>
      <c r="I230" s="9" t="s">
        <v>67</v>
      </c>
      <c r="J230" t="str">
        <f t="shared" si="3"/>
        <v>Jan Tulis</v>
      </c>
    </row>
    <row r="231" spans="1:10" ht="14.4" x14ac:dyDescent="0.3">
      <c r="A231" s="9" t="s">
        <v>151</v>
      </c>
      <c r="B231" s="9" t="s">
        <v>607</v>
      </c>
      <c r="C231" s="9" t="s">
        <v>70</v>
      </c>
      <c r="D231" s="10">
        <v>37230</v>
      </c>
      <c r="E231" s="9" t="s">
        <v>608</v>
      </c>
      <c r="F231" s="9" t="s">
        <v>66</v>
      </c>
      <c r="G231" s="9" t="str">
        <f>IF(Table1[[#This Row],[POHLAVI]]="M","Muž", "Žena")</f>
        <v>Muž</v>
      </c>
      <c r="H231" s="9">
        <v>230</v>
      </c>
      <c r="I231" s="9" t="s">
        <v>67</v>
      </c>
      <c r="J231" t="str">
        <f t="shared" si="3"/>
        <v>Petr Vopršal</v>
      </c>
    </row>
    <row r="232" spans="1:10" ht="14.4" x14ac:dyDescent="0.3">
      <c r="A232" s="9" t="s">
        <v>293</v>
      </c>
      <c r="B232" s="9" t="s">
        <v>609</v>
      </c>
      <c r="C232" s="9" t="s">
        <v>601</v>
      </c>
      <c r="D232" s="10">
        <v>37143</v>
      </c>
      <c r="E232" s="9" t="s">
        <v>610</v>
      </c>
      <c r="F232" s="9" t="s">
        <v>66</v>
      </c>
      <c r="G232" s="9" t="str">
        <f>IF(Table1[[#This Row],[POHLAVI]]="M","Muž", "Žena")</f>
        <v>Muž</v>
      </c>
      <c r="H232" s="9">
        <v>231</v>
      </c>
      <c r="I232" s="9" t="s">
        <v>67</v>
      </c>
      <c r="J232" t="str">
        <f t="shared" si="3"/>
        <v>Ondřej Vrbas</v>
      </c>
    </row>
    <row r="233" spans="1:10" ht="14.4" x14ac:dyDescent="0.3">
      <c r="A233" s="9" t="s">
        <v>255</v>
      </c>
      <c r="B233" s="9" t="s">
        <v>611</v>
      </c>
      <c r="C233" s="9" t="s">
        <v>75</v>
      </c>
      <c r="D233" s="10">
        <v>37270</v>
      </c>
      <c r="E233" s="9" t="s">
        <v>612</v>
      </c>
      <c r="F233" s="9" t="s">
        <v>72</v>
      </c>
      <c r="G233" s="9" t="str">
        <f>IF(Table1[[#This Row],[POHLAVI]]="M","Muž", "Žena")</f>
        <v>Žena</v>
      </c>
      <c r="H233" s="9">
        <v>232</v>
      </c>
      <c r="I233" s="9" t="s">
        <v>67</v>
      </c>
      <c r="J233" t="str">
        <f t="shared" si="3"/>
        <v>Aneta Brabcová</v>
      </c>
    </row>
    <row r="234" spans="1:10" ht="14.4" x14ac:dyDescent="0.3">
      <c r="A234" s="9" t="s">
        <v>203</v>
      </c>
      <c r="B234" s="9" t="s">
        <v>613</v>
      </c>
      <c r="C234" s="9" t="s">
        <v>70</v>
      </c>
      <c r="D234" s="10">
        <v>37296</v>
      </c>
      <c r="E234" s="9" t="s">
        <v>614</v>
      </c>
      <c r="F234" s="9" t="s">
        <v>72</v>
      </c>
      <c r="G234" s="9" t="str">
        <f>IF(Table1[[#This Row],[POHLAVI]]="M","Muž", "Žena")</f>
        <v>Žena</v>
      </c>
      <c r="H234" s="9">
        <v>233</v>
      </c>
      <c r="I234" s="9" t="s">
        <v>67</v>
      </c>
      <c r="J234" t="str">
        <f t="shared" si="3"/>
        <v>Veronika Drápová</v>
      </c>
    </row>
    <row r="235" spans="1:10" ht="14.4" x14ac:dyDescent="0.3">
      <c r="A235" s="9" t="s">
        <v>203</v>
      </c>
      <c r="B235" s="9" t="s">
        <v>615</v>
      </c>
      <c r="C235" s="9" t="s">
        <v>70</v>
      </c>
      <c r="D235" s="10">
        <v>40854</v>
      </c>
      <c r="E235" s="9" t="s">
        <v>616</v>
      </c>
      <c r="F235" s="9" t="s">
        <v>72</v>
      </c>
      <c r="G235" s="9" t="str">
        <f>IF(Table1[[#This Row],[POHLAVI]]="M","Muž", "Žena")</f>
        <v>Žena</v>
      </c>
      <c r="H235" s="9">
        <v>234</v>
      </c>
      <c r="I235" s="9" t="s">
        <v>67</v>
      </c>
      <c r="J235" t="str">
        <f t="shared" si="3"/>
        <v>Veronika Fialová</v>
      </c>
    </row>
    <row r="236" spans="1:10" ht="14.4" x14ac:dyDescent="0.3">
      <c r="A236" s="9" t="s">
        <v>103</v>
      </c>
      <c r="B236" s="9" t="s">
        <v>617</v>
      </c>
      <c r="C236" s="9" t="s">
        <v>70</v>
      </c>
      <c r="D236" s="10">
        <v>37395</v>
      </c>
      <c r="E236" s="9" t="s">
        <v>618</v>
      </c>
      <c r="F236" s="9" t="s">
        <v>66</v>
      </c>
      <c r="G236" s="9" t="str">
        <f>IF(Table1[[#This Row],[POHLAVI]]="M","Muž", "Žena")</f>
        <v>Muž</v>
      </c>
      <c r="H236" s="9">
        <v>235</v>
      </c>
      <c r="I236" s="9" t="s">
        <v>67</v>
      </c>
      <c r="J236" t="str">
        <f t="shared" si="3"/>
        <v>Jakub Halász</v>
      </c>
    </row>
    <row r="237" spans="1:10" ht="14.4" x14ac:dyDescent="0.3">
      <c r="A237" s="9" t="s">
        <v>619</v>
      </c>
      <c r="B237" s="9" t="s">
        <v>620</v>
      </c>
      <c r="C237" s="9" t="s">
        <v>70</v>
      </c>
      <c r="D237" s="10">
        <v>37147</v>
      </c>
      <c r="E237" s="9" t="s">
        <v>621</v>
      </c>
      <c r="F237" s="9" t="s">
        <v>72</v>
      </c>
      <c r="G237" s="9" t="str">
        <f>IF(Table1[[#This Row],[POHLAVI]]="M","Muž", "Žena")</f>
        <v>Žena</v>
      </c>
      <c r="H237" s="9">
        <v>236</v>
      </c>
      <c r="I237" s="9" t="s">
        <v>67</v>
      </c>
      <c r="J237" t="str">
        <f t="shared" si="3"/>
        <v>Radka Havelková</v>
      </c>
    </row>
    <row r="238" spans="1:10" ht="14.4" x14ac:dyDescent="0.3">
      <c r="A238" s="9" t="s">
        <v>599</v>
      </c>
      <c r="B238" s="9" t="s">
        <v>499</v>
      </c>
      <c r="C238" s="9" t="s">
        <v>70</v>
      </c>
      <c r="D238" s="10">
        <v>37143</v>
      </c>
      <c r="E238" s="9" t="s">
        <v>622</v>
      </c>
      <c r="F238" s="9" t="s">
        <v>66</v>
      </c>
      <c r="G238" s="9" t="str">
        <f>IF(Table1[[#This Row],[POHLAVI]]="M","Muž", "Žena")</f>
        <v>Muž</v>
      </c>
      <c r="H238" s="9">
        <v>237</v>
      </c>
      <c r="I238" s="9" t="s">
        <v>67</v>
      </c>
      <c r="J238" t="str">
        <f t="shared" si="3"/>
        <v>Roman Hlaváč</v>
      </c>
    </row>
    <row r="239" spans="1:10" ht="14.4" x14ac:dyDescent="0.3">
      <c r="A239" s="9" t="s">
        <v>186</v>
      </c>
      <c r="B239" s="9" t="s">
        <v>623</v>
      </c>
      <c r="C239" s="9" t="s">
        <v>70</v>
      </c>
      <c r="D239" s="10">
        <v>37324</v>
      </c>
      <c r="E239" s="9" t="s">
        <v>624</v>
      </c>
      <c r="F239" s="9" t="s">
        <v>72</v>
      </c>
      <c r="G239" s="9" t="str">
        <f>IF(Table1[[#This Row],[POHLAVI]]="M","Muž", "Žena")</f>
        <v>Žena</v>
      </c>
      <c r="H239" s="9">
        <v>238</v>
      </c>
      <c r="I239" s="9" t="s">
        <v>67</v>
      </c>
      <c r="J239" t="str">
        <f t="shared" si="3"/>
        <v>Kateřina Hrdinová</v>
      </c>
    </row>
    <row r="240" spans="1:10" ht="14.4" x14ac:dyDescent="0.3">
      <c r="A240" s="9" t="s">
        <v>183</v>
      </c>
      <c r="B240" s="9" t="s">
        <v>625</v>
      </c>
      <c r="C240" s="9" t="s">
        <v>70</v>
      </c>
      <c r="D240" s="10">
        <v>37224</v>
      </c>
      <c r="E240" s="9" t="s">
        <v>626</v>
      </c>
      <c r="F240" s="9" t="s">
        <v>72</v>
      </c>
      <c r="G240" s="9" t="str">
        <f>IF(Table1[[#This Row],[POHLAVI]]="M","Muž", "Žena")</f>
        <v>Žena</v>
      </c>
      <c r="H240" s="9">
        <v>239</v>
      </c>
      <c r="I240" s="9" t="s">
        <v>67</v>
      </c>
      <c r="J240" t="str">
        <f t="shared" si="3"/>
        <v>Anna Jančíková</v>
      </c>
    </row>
    <row r="241" spans="1:10" ht="14.4" x14ac:dyDescent="0.3">
      <c r="A241" s="9" t="s">
        <v>627</v>
      </c>
      <c r="B241" s="9" t="s">
        <v>628</v>
      </c>
      <c r="C241" s="9" t="s">
        <v>70</v>
      </c>
      <c r="D241" s="10">
        <v>37308</v>
      </c>
      <c r="E241" s="9" t="s">
        <v>629</v>
      </c>
      <c r="F241" s="9" t="s">
        <v>66</v>
      </c>
      <c r="G241" s="9" t="str">
        <f>IF(Table1[[#This Row],[POHLAVI]]="M","Muž", "Žena")</f>
        <v>Muž</v>
      </c>
      <c r="H241" s="9">
        <v>240</v>
      </c>
      <c r="I241" s="9" t="s">
        <v>67</v>
      </c>
      <c r="J241" t="str">
        <f t="shared" si="3"/>
        <v>Patrik Janeček</v>
      </c>
    </row>
    <row r="242" spans="1:10" ht="14.4" x14ac:dyDescent="0.3">
      <c r="A242" s="9" t="s">
        <v>572</v>
      </c>
      <c r="B242" s="9" t="s">
        <v>630</v>
      </c>
      <c r="C242" s="9" t="s">
        <v>70</v>
      </c>
      <c r="D242" s="10">
        <v>37166</v>
      </c>
      <c r="E242" s="9" t="s">
        <v>631</v>
      </c>
      <c r="F242" s="9" t="s">
        <v>72</v>
      </c>
      <c r="G242" s="9" t="str">
        <f>IF(Table1[[#This Row],[POHLAVI]]="M","Muž", "Žena")</f>
        <v>Žena</v>
      </c>
      <c r="H242" s="9">
        <v>241</v>
      </c>
      <c r="I242" s="9" t="s">
        <v>67</v>
      </c>
      <c r="J242" t="str">
        <f t="shared" si="3"/>
        <v>Kristýna Jíchová</v>
      </c>
    </row>
    <row r="243" spans="1:10" ht="14.4" x14ac:dyDescent="0.3">
      <c r="A243" s="9" t="s">
        <v>339</v>
      </c>
      <c r="B243" s="9" t="s">
        <v>632</v>
      </c>
      <c r="C243" s="9" t="s">
        <v>70</v>
      </c>
      <c r="D243" s="10">
        <v>37365</v>
      </c>
      <c r="E243" s="9" t="s">
        <v>633</v>
      </c>
      <c r="F243" s="9" t="s">
        <v>72</v>
      </c>
      <c r="G243" s="9" t="str">
        <f>IF(Table1[[#This Row],[POHLAVI]]="M","Muž", "Žena")</f>
        <v>Žena</v>
      </c>
      <c r="H243" s="9">
        <v>242</v>
      </c>
      <c r="I243" s="9" t="s">
        <v>67</v>
      </c>
      <c r="J243" t="str">
        <f t="shared" si="3"/>
        <v>Vendula Junová</v>
      </c>
    </row>
    <row r="244" spans="1:10" ht="14.4" x14ac:dyDescent="0.3">
      <c r="A244" s="9" t="s">
        <v>386</v>
      </c>
      <c r="B244" s="9" t="s">
        <v>634</v>
      </c>
      <c r="C244" s="9" t="s">
        <v>70</v>
      </c>
      <c r="D244" s="10">
        <v>37272</v>
      </c>
      <c r="E244" s="9" t="s">
        <v>635</v>
      </c>
      <c r="F244" s="9" t="s">
        <v>66</v>
      </c>
      <c r="G244" s="9" t="str">
        <f>IF(Table1[[#This Row],[POHLAVI]]="M","Muž", "Žena")</f>
        <v>Muž</v>
      </c>
      <c r="H244" s="9">
        <v>243</v>
      </c>
      <c r="I244" s="9" t="s">
        <v>67</v>
      </c>
      <c r="J244" t="str">
        <f t="shared" si="3"/>
        <v>Michal Ločárek</v>
      </c>
    </row>
    <row r="245" spans="1:10" ht="14.4" x14ac:dyDescent="0.3">
      <c r="A245" s="9" t="s">
        <v>100</v>
      </c>
      <c r="B245" s="9" t="s">
        <v>636</v>
      </c>
      <c r="C245" s="9" t="s">
        <v>637</v>
      </c>
      <c r="D245" s="10">
        <v>37157</v>
      </c>
      <c r="E245" s="9" t="s">
        <v>638</v>
      </c>
      <c r="F245" s="9" t="s">
        <v>72</v>
      </c>
      <c r="G245" s="9" t="str">
        <f>IF(Table1[[#This Row],[POHLAVI]]="M","Muž", "Žena")</f>
        <v>Žena</v>
      </c>
      <c r="H245" s="9">
        <v>244</v>
      </c>
      <c r="I245" s="9" t="s">
        <v>67</v>
      </c>
      <c r="J245" t="str">
        <f t="shared" si="3"/>
        <v>Barbora Mikešová</v>
      </c>
    </row>
    <row r="246" spans="1:10" ht="14.4" x14ac:dyDescent="0.3">
      <c r="A246" s="9" t="s">
        <v>68</v>
      </c>
      <c r="B246" s="9" t="s">
        <v>513</v>
      </c>
      <c r="C246" s="9" t="s">
        <v>70</v>
      </c>
      <c r="D246" s="10">
        <v>37380</v>
      </c>
      <c r="E246" s="9" t="s">
        <v>639</v>
      </c>
      <c r="F246" s="9" t="s">
        <v>72</v>
      </c>
      <c r="G246" s="9" t="str">
        <f>IF(Table1[[#This Row],[POHLAVI]]="M","Muž", "Žena")</f>
        <v>Žena</v>
      </c>
      <c r="H246" s="9">
        <v>245</v>
      </c>
      <c r="I246" s="9" t="s">
        <v>67</v>
      </c>
      <c r="J246" t="str">
        <f t="shared" si="3"/>
        <v>Natálie Mošnerová</v>
      </c>
    </row>
    <row r="247" spans="1:10" ht="14.4" x14ac:dyDescent="0.3">
      <c r="A247" s="9" t="s">
        <v>640</v>
      </c>
      <c r="B247" s="9" t="s">
        <v>173</v>
      </c>
      <c r="C247" s="9" t="s">
        <v>70</v>
      </c>
      <c r="D247" s="10">
        <v>37299</v>
      </c>
      <c r="E247" s="9" t="s">
        <v>641</v>
      </c>
      <c r="F247" s="9" t="s">
        <v>66</v>
      </c>
      <c r="G247" s="9" t="str">
        <f>IF(Table1[[#This Row],[POHLAVI]]="M","Muž", "Žena")</f>
        <v>Muž</v>
      </c>
      <c r="H247" s="9">
        <v>246</v>
      </c>
      <c r="I247" s="9" t="s">
        <v>80</v>
      </c>
      <c r="J247" t="str">
        <f t="shared" si="3"/>
        <v>Arne Němec</v>
      </c>
    </row>
    <row r="248" spans="1:10" ht="14.4" x14ac:dyDescent="0.3">
      <c r="A248" s="9" t="s">
        <v>512</v>
      </c>
      <c r="B248" s="9" t="s">
        <v>642</v>
      </c>
      <c r="C248" s="9" t="s">
        <v>70</v>
      </c>
      <c r="D248" s="10">
        <v>37415</v>
      </c>
      <c r="E248" s="9" t="s">
        <v>643</v>
      </c>
      <c r="F248" s="9" t="s">
        <v>72</v>
      </c>
      <c r="G248" s="9" t="str">
        <f>IF(Table1[[#This Row],[POHLAVI]]="M","Muž", "Žena")</f>
        <v>Žena</v>
      </c>
      <c r="H248" s="9">
        <v>247</v>
      </c>
      <c r="I248" s="9" t="s">
        <v>67</v>
      </c>
      <c r="J248" t="str">
        <f t="shared" si="3"/>
        <v>Eva Pelikánová</v>
      </c>
    </row>
    <row r="249" spans="1:10" ht="14.4" x14ac:dyDescent="0.3">
      <c r="A249" s="9" t="s">
        <v>94</v>
      </c>
      <c r="B249" s="9" t="s">
        <v>524</v>
      </c>
      <c r="C249" s="9" t="s">
        <v>70</v>
      </c>
      <c r="D249" s="10">
        <v>37250</v>
      </c>
      <c r="E249" s="9" t="s">
        <v>644</v>
      </c>
      <c r="F249" s="9" t="s">
        <v>66</v>
      </c>
      <c r="G249" s="9" t="str">
        <f>IF(Table1[[#This Row],[POHLAVI]]="M","Muž", "Žena")</f>
        <v>Muž</v>
      </c>
      <c r="H249" s="9">
        <v>248</v>
      </c>
      <c r="I249" s="9" t="s">
        <v>67</v>
      </c>
      <c r="J249" t="str">
        <f t="shared" si="3"/>
        <v>Lukáš Peňáz</v>
      </c>
    </row>
    <row r="250" spans="1:10" ht="14.4" x14ac:dyDescent="0.3">
      <c r="A250" s="9" t="s">
        <v>77</v>
      </c>
      <c r="B250" s="9" t="s">
        <v>524</v>
      </c>
      <c r="C250" s="9" t="s">
        <v>70</v>
      </c>
      <c r="D250" s="10">
        <v>37298</v>
      </c>
      <c r="E250" s="9" t="s">
        <v>645</v>
      </c>
      <c r="F250" s="9" t="s">
        <v>66</v>
      </c>
      <c r="G250" s="9" t="str">
        <f>IF(Table1[[#This Row],[POHLAVI]]="M","Muž", "Žena")</f>
        <v>Muž</v>
      </c>
      <c r="H250" s="9">
        <v>249</v>
      </c>
      <c r="I250" s="9" t="s">
        <v>67</v>
      </c>
      <c r="J250" t="str">
        <f t="shared" si="3"/>
        <v>Tomáš Peňáz</v>
      </c>
    </row>
    <row r="251" spans="1:10" ht="14.4" x14ac:dyDescent="0.3">
      <c r="A251" s="9" t="s">
        <v>646</v>
      </c>
      <c r="B251" s="9" t="s">
        <v>647</v>
      </c>
      <c r="C251" s="9" t="s">
        <v>70</v>
      </c>
      <c r="D251" s="10">
        <v>37143</v>
      </c>
      <c r="E251" s="9" t="s">
        <v>648</v>
      </c>
      <c r="F251" s="9" t="s">
        <v>72</v>
      </c>
      <c r="G251" s="9" t="str">
        <f>IF(Table1[[#This Row],[POHLAVI]]="M","Muž", "Žena")</f>
        <v>Žena</v>
      </c>
      <c r="H251" s="9">
        <v>250</v>
      </c>
      <c r="I251" s="9" t="s">
        <v>117</v>
      </c>
      <c r="J251" t="str">
        <f t="shared" si="3"/>
        <v>Erika Petrová</v>
      </c>
    </row>
    <row r="252" spans="1:10" ht="14.4" x14ac:dyDescent="0.3">
      <c r="A252" s="9" t="s">
        <v>364</v>
      </c>
      <c r="B252" s="9" t="s">
        <v>649</v>
      </c>
      <c r="C252" s="9" t="s">
        <v>70</v>
      </c>
      <c r="D252" s="10">
        <v>37354</v>
      </c>
      <c r="E252" s="9" t="s">
        <v>650</v>
      </c>
      <c r="F252" s="9" t="s">
        <v>72</v>
      </c>
      <c r="G252" s="9" t="str">
        <f>IF(Table1[[#This Row],[POHLAVI]]="M","Muž", "Žena")</f>
        <v>Žena</v>
      </c>
      <c r="H252" s="9">
        <v>251</v>
      </c>
      <c r="I252" s="9" t="s">
        <v>67</v>
      </c>
      <c r="J252" t="str">
        <f t="shared" si="3"/>
        <v>Simona Pivková</v>
      </c>
    </row>
    <row r="253" spans="1:10" ht="14.4" x14ac:dyDescent="0.3">
      <c r="A253" s="9" t="s">
        <v>651</v>
      </c>
      <c r="B253" s="9" t="s">
        <v>652</v>
      </c>
      <c r="C253" s="9" t="s">
        <v>70</v>
      </c>
      <c r="D253" s="10">
        <v>37174</v>
      </c>
      <c r="E253" s="9" t="s">
        <v>653</v>
      </c>
      <c r="F253" s="9" t="s">
        <v>66</v>
      </c>
      <c r="G253" s="9" t="str">
        <f>IF(Table1[[#This Row],[POHLAVI]]="M","Muž", "Žena")</f>
        <v>Muž</v>
      </c>
      <c r="H253" s="9">
        <v>252</v>
      </c>
      <c r="I253" s="9" t="s">
        <v>67</v>
      </c>
      <c r="J253" t="str">
        <f t="shared" si="3"/>
        <v>Antonín Pleskač</v>
      </c>
    </row>
    <row r="254" spans="1:10" ht="14.4" x14ac:dyDescent="0.3">
      <c r="A254" s="9" t="s">
        <v>572</v>
      </c>
      <c r="B254" s="9" t="s">
        <v>654</v>
      </c>
      <c r="C254" s="9" t="s">
        <v>70</v>
      </c>
      <c r="D254" s="10">
        <v>37231</v>
      </c>
      <c r="E254" s="9" t="s">
        <v>655</v>
      </c>
      <c r="F254" s="9" t="s">
        <v>72</v>
      </c>
      <c r="G254" s="9" t="str">
        <f>IF(Table1[[#This Row],[POHLAVI]]="M","Muž", "Žena")</f>
        <v>Žena</v>
      </c>
      <c r="H254" s="9">
        <v>253</v>
      </c>
      <c r="I254" s="9" t="s">
        <v>67</v>
      </c>
      <c r="J254" t="str">
        <f t="shared" si="3"/>
        <v>Kristýna Plocková</v>
      </c>
    </row>
    <row r="255" spans="1:10" ht="14.4" x14ac:dyDescent="0.3">
      <c r="A255" s="9" t="s">
        <v>656</v>
      </c>
      <c r="B255" s="9" t="s">
        <v>657</v>
      </c>
      <c r="C255" s="9" t="s">
        <v>70</v>
      </c>
      <c r="D255" s="10">
        <v>37231</v>
      </c>
      <c r="E255" s="9" t="s">
        <v>658</v>
      </c>
      <c r="F255" s="9" t="s">
        <v>72</v>
      </c>
      <c r="G255" s="9" t="str">
        <f>IF(Table1[[#This Row],[POHLAVI]]="M","Muž", "Žena")</f>
        <v>Žena</v>
      </c>
      <c r="H255" s="9">
        <v>254</v>
      </c>
      <c r="I255" s="9" t="s">
        <v>67</v>
      </c>
      <c r="J255" t="str">
        <f t="shared" si="3"/>
        <v>Kristina Poulová</v>
      </c>
    </row>
    <row r="256" spans="1:10" ht="14.4" x14ac:dyDescent="0.3">
      <c r="A256" s="9" t="s">
        <v>278</v>
      </c>
      <c r="B256" s="9" t="s">
        <v>181</v>
      </c>
      <c r="C256" s="9" t="s">
        <v>70</v>
      </c>
      <c r="D256" s="10">
        <v>37211</v>
      </c>
      <c r="E256" s="9" t="s">
        <v>659</v>
      </c>
      <c r="F256" s="9" t="s">
        <v>66</v>
      </c>
      <c r="G256" s="9" t="str">
        <f>IF(Table1[[#This Row],[POHLAVI]]="M","Muž", "Žena")</f>
        <v>Muž</v>
      </c>
      <c r="H256" s="9">
        <v>255</v>
      </c>
      <c r="I256" s="9" t="s">
        <v>91</v>
      </c>
      <c r="J256" t="str">
        <f t="shared" si="3"/>
        <v>Jiří Sláma</v>
      </c>
    </row>
    <row r="257" spans="1:10" ht="14.4" x14ac:dyDescent="0.3">
      <c r="A257" s="9" t="s">
        <v>386</v>
      </c>
      <c r="B257" s="9" t="s">
        <v>181</v>
      </c>
      <c r="C257" s="9" t="s">
        <v>70</v>
      </c>
      <c r="D257" s="10">
        <v>37165</v>
      </c>
      <c r="E257" s="9" t="s">
        <v>660</v>
      </c>
      <c r="F257" s="9" t="s">
        <v>66</v>
      </c>
      <c r="G257" s="9" t="str">
        <f>IF(Table1[[#This Row],[POHLAVI]]="M","Muž", "Žena")</f>
        <v>Muž</v>
      </c>
      <c r="H257" s="9">
        <v>256</v>
      </c>
      <c r="I257" s="9" t="s">
        <v>91</v>
      </c>
      <c r="J257" t="str">
        <f t="shared" si="3"/>
        <v>Michal Sláma</v>
      </c>
    </row>
    <row r="258" spans="1:10" ht="14.4" x14ac:dyDescent="0.3">
      <c r="A258" s="9" t="s">
        <v>186</v>
      </c>
      <c r="B258" s="9" t="s">
        <v>307</v>
      </c>
      <c r="C258" s="9" t="s">
        <v>637</v>
      </c>
      <c r="D258" s="10">
        <v>37275</v>
      </c>
      <c r="E258" s="9" t="s">
        <v>661</v>
      </c>
      <c r="F258" s="9" t="s">
        <v>72</v>
      </c>
      <c r="G258" s="9" t="str">
        <f>IF(Table1[[#This Row],[POHLAVI]]="M","Muž", "Žena")</f>
        <v>Žena</v>
      </c>
      <c r="H258" s="9">
        <v>257</v>
      </c>
      <c r="I258" s="9" t="s">
        <v>67</v>
      </c>
      <c r="J258" t="str">
        <f t="shared" si="3"/>
        <v>Kateřina Smolíková</v>
      </c>
    </row>
    <row r="259" spans="1:10" ht="14.4" x14ac:dyDescent="0.3">
      <c r="A259" s="9" t="s">
        <v>103</v>
      </c>
      <c r="B259" s="9" t="s">
        <v>376</v>
      </c>
      <c r="C259" s="9" t="s">
        <v>70</v>
      </c>
      <c r="D259" s="10">
        <v>37424</v>
      </c>
      <c r="E259" s="9" t="s">
        <v>662</v>
      </c>
      <c r="F259" s="9" t="s">
        <v>66</v>
      </c>
      <c r="G259" s="9" t="str">
        <f>IF(Table1[[#This Row],[POHLAVI]]="M","Muž", "Žena")</f>
        <v>Muž</v>
      </c>
      <c r="H259" s="9">
        <v>258</v>
      </c>
      <c r="I259" s="9" t="s">
        <v>67</v>
      </c>
      <c r="J259" t="str">
        <f t="shared" ref="J259:J322" si="4">_xlfn.TEXTJOIN(" ",1,$A259:$B259)</f>
        <v>Jakub Starý</v>
      </c>
    </row>
    <row r="260" spans="1:10" ht="14.4" x14ac:dyDescent="0.3">
      <c r="A260" s="9" t="s">
        <v>68</v>
      </c>
      <c r="B260" s="9" t="s">
        <v>663</v>
      </c>
      <c r="C260" s="9" t="s">
        <v>70</v>
      </c>
      <c r="D260" s="10">
        <v>37398</v>
      </c>
      <c r="E260" s="9" t="s">
        <v>664</v>
      </c>
      <c r="F260" s="9" t="s">
        <v>72</v>
      </c>
      <c r="G260" s="9" t="str">
        <f>IF(Table1[[#This Row],[POHLAVI]]="M","Muž", "Žena")</f>
        <v>Žena</v>
      </c>
      <c r="H260" s="9">
        <v>259</v>
      </c>
      <c r="I260" s="9" t="s">
        <v>67</v>
      </c>
      <c r="J260" t="str">
        <f t="shared" si="4"/>
        <v>Natálie Štěpánková</v>
      </c>
    </row>
    <row r="261" spans="1:10" ht="14.4" x14ac:dyDescent="0.3">
      <c r="A261" s="9" t="s">
        <v>106</v>
      </c>
      <c r="B261" s="9" t="s">
        <v>665</v>
      </c>
      <c r="C261" s="9" t="s">
        <v>70</v>
      </c>
      <c r="D261" s="10">
        <v>37283</v>
      </c>
      <c r="E261" s="9" t="s">
        <v>666</v>
      </c>
      <c r="F261" s="9" t="s">
        <v>66</v>
      </c>
      <c r="G261" s="9" t="str">
        <f>IF(Table1[[#This Row],[POHLAVI]]="M","Muž", "Žena")</f>
        <v>Muž</v>
      </c>
      <c r="H261" s="9">
        <v>260</v>
      </c>
      <c r="I261" s="9" t="s">
        <v>67</v>
      </c>
      <c r="J261" t="str">
        <f t="shared" si="4"/>
        <v>Vojtěch Zdražil</v>
      </c>
    </row>
    <row r="262" spans="1:10" ht="14.4" x14ac:dyDescent="0.3">
      <c r="A262" s="9" t="s">
        <v>139</v>
      </c>
      <c r="B262" s="9" t="s">
        <v>560</v>
      </c>
      <c r="C262" s="9" t="s">
        <v>70</v>
      </c>
      <c r="D262" s="10">
        <v>37230</v>
      </c>
      <c r="E262" s="9" t="s">
        <v>667</v>
      </c>
      <c r="F262" s="9" t="s">
        <v>66</v>
      </c>
      <c r="G262" s="9" t="str">
        <f>IF(Table1[[#This Row],[POHLAVI]]="M","Muž", "Žena")</f>
        <v>Muž</v>
      </c>
      <c r="H262" s="9">
        <v>261</v>
      </c>
      <c r="I262" s="9" t="s">
        <v>117</v>
      </c>
      <c r="J262" t="str">
        <f t="shared" si="4"/>
        <v>Josef Drdla</v>
      </c>
    </row>
    <row r="263" spans="1:10" ht="14.4" x14ac:dyDescent="0.3">
      <c r="A263" s="9" t="s">
        <v>668</v>
      </c>
      <c r="B263" s="9" t="s">
        <v>497</v>
      </c>
      <c r="C263" s="9" t="s">
        <v>70</v>
      </c>
      <c r="D263" s="10">
        <v>37365</v>
      </c>
      <c r="E263" s="9" t="s">
        <v>669</v>
      </c>
      <c r="F263" s="9" t="s">
        <v>72</v>
      </c>
      <c r="G263" s="9" t="str">
        <f>IF(Table1[[#This Row],[POHLAVI]]="M","Muž", "Žena")</f>
        <v>Žena</v>
      </c>
      <c r="H263" s="9">
        <v>262</v>
      </c>
      <c r="I263" s="9" t="s">
        <v>67</v>
      </c>
      <c r="J263" t="str">
        <f t="shared" si="4"/>
        <v>Ludmila Havlíková</v>
      </c>
    </row>
    <row r="264" spans="1:10" ht="14.4" x14ac:dyDescent="0.3">
      <c r="A264" s="9" t="s">
        <v>186</v>
      </c>
      <c r="B264" s="9" t="s">
        <v>286</v>
      </c>
      <c r="C264" s="9" t="s">
        <v>64</v>
      </c>
      <c r="D264" s="10">
        <v>37115</v>
      </c>
      <c r="E264" s="9" t="s">
        <v>670</v>
      </c>
      <c r="F264" s="9" t="s">
        <v>72</v>
      </c>
      <c r="G264" s="9" t="str">
        <f>IF(Table1[[#This Row],[POHLAVI]]="M","Muž", "Žena")</f>
        <v>Žena</v>
      </c>
      <c r="H264" s="9">
        <v>263</v>
      </c>
      <c r="I264" s="9" t="s">
        <v>67</v>
      </c>
      <c r="J264" t="str">
        <f t="shared" si="4"/>
        <v>Kateřina Hrnčířová</v>
      </c>
    </row>
    <row r="265" spans="1:10" ht="14.4" x14ac:dyDescent="0.3">
      <c r="A265" s="9" t="s">
        <v>178</v>
      </c>
      <c r="B265" s="9" t="s">
        <v>577</v>
      </c>
      <c r="C265" s="9" t="s">
        <v>70</v>
      </c>
      <c r="D265" s="10">
        <v>37314</v>
      </c>
      <c r="E265" s="9" t="s">
        <v>671</v>
      </c>
      <c r="F265" s="9" t="s">
        <v>66</v>
      </c>
      <c r="G265" s="9" t="str">
        <f>IF(Table1[[#This Row],[POHLAVI]]="M","Muž", "Žena")</f>
        <v>Muž</v>
      </c>
      <c r="H265" s="9">
        <v>264</v>
      </c>
      <c r="I265" s="9" t="s">
        <v>67</v>
      </c>
      <c r="J265" t="str">
        <f t="shared" si="4"/>
        <v>Marek Jinek</v>
      </c>
    </row>
    <row r="266" spans="1:10" ht="14.4" x14ac:dyDescent="0.3">
      <c r="A266" s="9" t="s">
        <v>386</v>
      </c>
      <c r="B266" s="9" t="s">
        <v>361</v>
      </c>
      <c r="C266" s="9" t="s">
        <v>70</v>
      </c>
      <c r="D266" s="10">
        <v>37222</v>
      </c>
      <c r="E266" s="9" t="s">
        <v>672</v>
      </c>
      <c r="F266" s="9" t="s">
        <v>66</v>
      </c>
      <c r="G266" s="9" t="str">
        <f>IF(Table1[[#This Row],[POHLAVI]]="M","Muž", "Žena")</f>
        <v>Muž</v>
      </c>
      <c r="H266" s="9">
        <v>265</v>
      </c>
      <c r="I266" s="9" t="s">
        <v>67</v>
      </c>
      <c r="J266" t="str">
        <f t="shared" si="4"/>
        <v>Michal Kaštánek</v>
      </c>
    </row>
    <row r="267" spans="1:10" ht="14.4" x14ac:dyDescent="0.3">
      <c r="A267" s="9" t="s">
        <v>172</v>
      </c>
      <c r="B267" s="9" t="s">
        <v>673</v>
      </c>
      <c r="C267" s="9" t="s">
        <v>70</v>
      </c>
      <c r="D267" s="10">
        <v>36885</v>
      </c>
      <c r="E267" s="9" t="s">
        <v>674</v>
      </c>
      <c r="F267" s="9" t="s">
        <v>66</v>
      </c>
      <c r="G267" s="9" t="str">
        <f>IF(Table1[[#This Row],[POHLAVI]]="M","Muž", "Žena")</f>
        <v>Muž</v>
      </c>
      <c r="H267" s="9">
        <v>266</v>
      </c>
      <c r="I267" s="9" t="s">
        <v>67</v>
      </c>
      <c r="J267" t="str">
        <f t="shared" si="4"/>
        <v>Matouš Kosař</v>
      </c>
    </row>
    <row r="268" spans="1:10" ht="14.4" x14ac:dyDescent="0.3">
      <c r="A268" s="9" t="s">
        <v>183</v>
      </c>
      <c r="B268" s="9" t="s">
        <v>232</v>
      </c>
      <c r="C268" s="9" t="s">
        <v>75</v>
      </c>
      <c r="D268" s="10">
        <v>36863</v>
      </c>
      <c r="E268" s="9" t="s">
        <v>675</v>
      </c>
      <c r="F268" s="9" t="s">
        <v>72</v>
      </c>
      <c r="G268" s="9" t="str">
        <f>IF(Table1[[#This Row],[POHLAVI]]="M","Muž", "Žena")</f>
        <v>Žena</v>
      </c>
      <c r="H268" s="9">
        <v>267</v>
      </c>
      <c r="I268" s="9" t="s">
        <v>67</v>
      </c>
      <c r="J268" t="str">
        <f t="shared" si="4"/>
        <v>Anna Kosourová</v>
      </c>
    </row>
    <row r="269" spans="1:10" ht="14.4" x14ac:dyDescent="0.3">
      <c r="A269" s="9" t="s">
        <v>676</v>
      </c>
      <c r="B269" s="9" t="s">
        <v>677</v>
      </c>
      <c r="C269" s="9" t="s">
        <v>70</v>
      </c>
      <c r="D269" s="10">
        <v>36748</v>
      </c>
      <c r="E269" s="9" t="s">
        <v>678</v>
      </c>
      <c r="F269" s="9" t="s">
        <v>72</v>
      </c>
      <c r="G269" s="9" t="str">
        <f>IF(Table1[[#This Row],[POHLAVI]]="M","Muž", "Žena")</f>
        <v>Žena</v>
      </c>
      <c r="H269" s="9">
        <v>268</v>
      </c>
      <c r="I269" s="9" t="s">
        <v>67</v>
      </c>
      <c r="J269" t="str">
        <f t="shared" si="4"/>
        <v>Andrea Kotovicová</v>
      </c>
    </row>
    <row r="270" spans="1:10" ht="14.4" x14ac:dyDescent="0.3">
      <c r="A270" s="9" t="s">
        <v>679</v>
      </c>
      <c r="B270" s="9" t="s">
        <v>677</v>
      </c>
      <c r="C270" s="9" t="s">
        <v>70</v>
      </c>
      <c r="D270" s="10">
        <v>36734</v>
      </c>
      <c r="E270" s="9" t="s">
        <v>680</v>
      </c>
      <c r="F270" s="9" t="s">
        <v>72</v>
      </c>
      <c r="G270" s="9" t="str">
        <f>IF(Table1[[#This Row],[POHLAVI]]="M","Muž", "Žena")</f>
        <v>Žena</v>
      </c>
      <c r="H270" s="9">
        <v>269</v>
      </c>
      <c r="I270" s="9" t="s">
        <v>67</v>
      </c>
      <c r="J270" t="str">
        <f t="shared" si="4"/>
        <v>Petra Kotovicová</v>
      </c>
    </row>
    <row r="271" spans="1:10" ht="14.4" x14ac:dyDescent="0.3">
      <c r="A271" s="9" t="s">
        <v>278</v>
      </c>
      <c r="B271" s="9" t="s">
        <v>681</v>
      </c>
      <c r="C271" s="9" t="s">
        <v>70</v>
      </c>
      <c r="D271" s="10">
        <v>36787</v>
      </c>
      <c r="E271" s="9" t="s">
        <v>682</v>
      </c>
      <c r="F271" s="9" t="s">
        <v>66</v>
      </c>
      <c r="G271" s="9" t="str">
        <f>IF(Table1[[#This Row],[POHLAVI]]="M","Muž", "Žena")</f>
        <v>Muž</v>
      </c>
      <c r="H271" s="9">
        <v>270</v>
      </c>
      <c r="I271" s="9" t="s">
        <v>67</v>
      </c>
      <c r="J271" t="str">
        <f t="shared" si="4"/>
        <v>Jiří Kovařík</v>
      </c>
    </row>
    <row r="272" spans="1:10" ht="14.4" x14ac:dyDescent="0.3">
      <c r="A272" s="9" t="s">
        <v>169</v>
      </c>
      <c r="B272" s="9" t="s">
        <v>683</v>
      </c>
      <c r="C272" s="9" t="s">
        <v>70</v>
      </c>
      <c r="D272" s="10">
        <v>37065</v>
      </c>
      <c r="E272" s="9" t="s">
        <v>684</v>
      </c>
      <c r="F272" s="9" t="s">
        <v>72</v>
      </c>
      <c r="G272" s="9" t="str">
        <f>IF(Table1[[#This Row],[POHLAVI]]="M","Muž", "Žena")</f>
        <v>Žena</v>
      </c>
      <c r="H272" s="9">
        <v>271</v>
      </c>
      <c r="I272" s="9" t="s">
        <v>67</v>
      </c>
      <c r="J272" t="str">
        <f t="shared" si="4"/>
        <v>Monika Kozáčková</v>
      </c>
    </row>
    <row r="273" spans="1:10" ht="14.4" x14ac:dyDescent="0.3">
      <c r="A273" s="9" t="s">
        <v>236</v>
      </c>
      <c r="B273" s="9" t="s">
        <v>434</v>
      </c>
      <c r="C273" s="9" t="s">
        <v>70</v>
      </c>
      <c r="D273" s="10">
        <v>37046</v>
      </c>
      <c r="E273" s="9" t="s">
        <v>685</v>
      </c>
      <c r="F273" s="9" t="s">
        <v>66</v>
      </c>
      <c r="G273" s="9" t="str">
        <f>IF(Table1[[#This Row],[POHLAVI]]="M","Muž", "Žena")</f>
        <v>Muž</v>
      </c>
      <c r="H273" s="9">
        <v>272</v>
      </c>
      <c r="I273" s="9" t="s">
        <v>67</v>
      </c>
      <c r="J273" t="str">
        <f t="shared" si="4"/>
        <v>Jaroslav Král</v>
      </c>
    </row>
    <row r="274" spans="1:10" ht="14.4" x14ac:dyDescent="0.3">
      <c r="A274" s="9" t="s">
        <v>186</v>
      </c>
      <c r="B274" s="9" t="s">
        <v>686</v>
      </c>
      <c r="C274" s="9" t="s">
        <v>70</v>
      </c>
      <c r="D274" s="10">
        <v>36850</v>
      </c>
      <c r="E274" s="9" t="s">
        <v>687</v>
      </c>
      <c r="F274" s="9" t="s">
        <v>72</v>
      </c>
      <c r="G274" s="9" t="str">
        <f>IF(Table1[[#This Row],[POHLAVI]]="M","Muž", "Žena")</f>
        <v>Žena</v>
      </c>
      <c r="H274" s="9">
        <v>273</v>
      </c>
      <c r="I274" s="9" t="s">
        <v>67</v>
      </c>
      <c r="J274" t="str">
        <f t="shared" si="4"/>
        <v>Kateřina Kubcová</v>
      </c>
    </row>
    <row r="275" spans="1:10" ht="14.4" x14ac:dyDescent="0.3">
      <c r="A275" s="9" t="s">
        <v>386</v>
      </c>
      <c r="B275" s="9" t="s">
        <v>688</v>
      </c>
      <c r="C275" s="9" t="s">
        <v>70</v>
      </c>
      <c r="D275" s="10">
        <v>36850</v>
      </c>
      <c r="E275" s="9" t="s">
        <v>689</v>
      </c>
      <c r="F275" s="9" t="s">
        <v>66</v>
      </c>
      <c r="G275" s="9" t="str">
        <f>IF(Table1[[#This Row],[POHLAVI]]="M","Muž", "Žena")</f>
        <v>Muž</v>
      </c>
      <c r="H275" s="9">
        <v>274</v>
      </c>
      <c r="I275" s="9" t="s">
        <v>67</v>
      </c>
      <c r="J275" t="str">
        <f t="shared" si="4"/>
        <v>Michal Kulíšek</v>
      </c>
    </row>
    <row r="276" spans="1:10" ht="14.4" x14ac:dyDescent="0.3">
      <c r="A276" s="9" t="s">
        <v>278</v>
      </c>
      <c r="B276" s="9" t="s">
        <v>690</v>
      </c>
      <c r="C276" s="9" t="s">
        <v>70</v>
      </c>
      <c r="D276" s="10">
        <v>36481</v>
      </c>
      <c r="E276" s="9" t="s">
        <v>691</v>
      </c>
      <c r="F276" s="9" t="s">
        <v>66</v>
      </c>
      <c r="G276" s="9" t="str">
        <f>IF(Table1[[#This Row],[POHLAVI]]="M","Muž", "Žena")</f>
        <v>Muž</v>
      </c>
      <c r="H276" s="9">
        <v>275</v>
      </c>
      <c r="I276" s="9" t="s">
        <v>67</v>
      </c>
      <c r="J276" t="str">
        <f t="shared" si="4"/>
        <v>Jiří Lukášek</v>
      </c>
    </row>
    <row r="277" spans="1:10" ht="14.4" x14ac:dyDescent="0.3">
      <c r="A277" s="9" t="s">
        <v>692</v>
      </c>
      <c r="B277" s="9" t="s">
        <v>439</v>
      </c>
      <c r="C277" s="9" t="s">
        <v>70</v>
      </c>
      <c r="D277" s="10">
        <v>36953</v>
      </c>
      <c r="E277" s="9" t="s">
        <v>693</v>
      </c>
      <c r="F277" s="9" t="s">
        <v>72</v>
      </c>
      <c r="G277" s="9" t="str">
        <f>IF(Table1[[#This Row],[POHLAVI]]="M","Muž", "Žena")</f>
        <v>Žena</v>
      </c>
      <c r="H277" s="9">
        <v>276</v>
      </c>
      <c r="I277" s="9" t="s">
        <v>67</v>
      </c>
      <c r="J277" t="str">
        <f t="shared" si="4"/>
        <v>Julie Mičková</v>
      </c>
    </row>
    <row r="278" spans="1:10" ht="14.4" x14ac:dyDescent="0.3">
      <c r="A278" s="9" t="s">
        <v>261</v>
      </c>
      <c r="B278" s="9" t="s">
        <v>694</v>
      </c>
      <c r="C278" s="9" t="s">
        <v>70</v>
      </c>
      <c r="D278" s="10">
        <v>36642</v>
      </c>
      <c r="E278" s="9" t="s">
        <v>695</v>
      </c>
      <c r="F278" s="9" t="s">
        <v>72</v>
      </c>
      <c r="G278" s="9" t="str">
        <f>IF(Table1[[#This Row],[POHLAVI]]="M","Muž", "Žena")</f>
        <v>Žena</v>
      </c>
      <c r="H278" s="9">
        <v>277</v>
      </c>
      <c r="I278" s="9" t="s">
        <v>67</v>
      </c>
      <c r="J278" t="str">
        <f t="shared" si="4"/>
        <v>Jana Nováková</v>
      </c>
    </row>
    <row r="279" spans="1:10" ht="14.4" x14ac:dyDescent="0.3">
      <c r="A279" s="9" t="s">
        <v>493</v>
      </c>
      <c r="B279" s="9" t="s">
        <v>520</v>
      </c>
      <c r="C279" s="9" t="s">
        <v>70</v>
      </c>
      <c r="D279" s="10">
        <v>36921</v>
      </c>
      <c r="E279" s="9" t="s">
        <v>696</v>
      </c>
      <c r="F279" s="9" t="s">
        <v>72</v>
      </c>
      <c r="G279" s="9" t="str">
        <f>IF(Table1[[#This Row],[POHLAVI]]="M","Muž", "Žena")</f>
        <v>Žena</v>
      </c>
      <c r="H279" s="9">
        <v>278</v>
      </c>
      <c r="I279" s="9" t="s">
        <v>67</v>
      </c>
      <c r="J279" t="str">
        <f t="shared" si="4"/>
        <v>Daniela Novotná</v>
      </c>
    </row>
    <row r="280" spans="1:10" ht="14.4" x14ac:dyDescent="0.3">
      <c r="A280" s="9" t="s">
        <v>247</v>
      </c>
      <c r="B280" s="9" t="s">
        <v>520</v>
      </c>
      <c r="C280" s="9" t="s">
        <v>70</v>
      </c>
      <c r="D280" s="10">
        <v>37069</v>
      </c>
      <c r="E280" s="9" t="s">
        <v>697</v>
      </c>
      <c r="F280" s="9" t="s">
        <v>72</v>
      </c>
      <c r="G280" s="9" t="str">
        <f>IF(Table1[[#This Row],[POHLAVI]]="M","Muž", "Žena")</f>
        <v>Žena</v>
      </c>
      <c r="H280" s="9">
        <v>279</v>
      </c>
      <c r="I280" s="9" t="s">
        <v>67</v>
      </c>
      <c r="J280" t="str">
        <f t="shared" si="4"/>
        <v>Jitka Novotná</v>
      </c>
    </row>
    <row r="281" spans="1:10" ht="14.4" x14ac:dyDescent="0.3">
      <c r="A281" s="9" t="s">
        <v>493</v>
      </c>
      <c r="B281" s="9" t="s">
        <v>698</v>
      </c>
      <c r="C281" s="9" t="s">
        <v>70</v>
      </c>
      <c r="D281" s="10">
        <v>36947</v>
      </c>
      <c r="E281" s="9" t="s">
        <v>699</v>
      </c>
      <c r="F281" s="9" t="s">
        <v>72</v>
      </c>
      <c r="G281" s="9" t="str">
        <f>IF(Table1[[#This Row],[POHLAVI]]="M","Muž", "Žena")</f>
        <v>Žena</v>
      </c>
      <c r="H281" s="9">
        <v>280</v>
      </c>
      <c r="I281" s="9" t="s">
        <v>67</v>
      </c>
      <c r="J281" t="str">
        <f t="shared" si="4"/>
        <v>Daniela Palečková</v>
      </c>
    </row>
    <row r="282" spans="1:10" ht="14.4" x14ac:dyDescent="0.3">
      <c r="A282" s="9" t="s">
        <v>311</v>
      </c>
      <c r="B282" s="9" t="s">
        <v>700</v>
      </c>
      <c r="C282" s="9" t="s">
        <v>601</v>
      </c>
      <c r="D282" s="10">
        <v>36854</v>
      </c>
      <c r="E282" s="9" t="s">
        <v>701</v>
      </c>
      <c r="F282" s="9" t="s">
        <v>72</v>
      </c>
      <c r="G282" s="9" t="str">
        <f>IF(Table1[[#This Row],[POHLAVI]]="M","Muž", "Žena")</f>
        <v>Žena</v>
      </c>
      <c r="H282" s="9">
        <v>281</v>
      </c>
      <c r="I282" s="9" t="s">
        <v>67</v>
      </c>
      <c r="J282" t="str">
        <f t="shared" si="4"/>
        <v>Nikola Pavlínková</v>
      </c>
    </row>
    <row r="283" spans="1:10" ht="14.4" x14ac:dyDescent="0.3">
      <c r="A283" s="9" t="s">
        <v>77</v>
      </c>
      <c r="B283" s="9" t="s">
        <v>107</v>
      </c>
      <c r="C283" s="9" t="s">
        <v>70</v>
      </c>
      <c r="D283" s="10">
        <v>37051</v>
      </c>
      <c r="E283" s="9" t="s">
        <v>702</v>
      </c>
      <c r="F283" s="9" t="s">
        <v>66</v>
      </c>
      <c r="G283" s="9" t="str">
        <f>IF(Table1[[#This Row],[POHLAVI]]="M","Muž", "Žena")</f>
        <v>Muž</v>
      </c>
      <c r="H283" s="9">
        <v>282</v>
      </c>
      <c r="I283" s="9" t="s">
        <v>117</v>
      </c>
      <c r="J283" t="str">
        <f t="shared" si="4"/>
        <v>Tomáš Pejchal</v>
      </c>
    </row>
    <row r="284" spans="1:10" ht="14.4" x14ac:dyDescent="0.3">
      <c r="A284" s="9" t="s">
        <v>127</v>
      </c>
      <c r="B284" s="9" t="s">
        <v>703</v>
      </c>
      <c r="C284" s="9" t="s">
        <v>70</v>
      </c>
      <c r="D284" s="10">
        <v>37032</v>
      </c>
      <c r="E284" s="9" t="s">
        <v>704</v>
      </c>
      <c r="F284" s="9" t="s">
        <v>66</v>
      </c>
      <c r="G284" s="9" t="str">
        <f>IF(Table1[[#This Row],[POHLAVI]]="M","Muž", "Žena")</f>
        <v>Muž</v>
      </c>
      <c r="H284" s="9">
        <v>283</v>
      </c>
      <c r="I284" s="9" t="s">
        <v>67</v>
      </c>
      <c r="J284" t="str">
        <f t="shared" si="4"/>
        <v>Martin Polnický</v>
      </c>
    </row>
    <row r="285" spans="1:10" ht="14.4" x14ac:dyDescent="0.3">
      <c r="A285" s="9" t="s">
        <v>705</v>
      </c>
      <c r="B285" s="9" t="s">
        <v>176</v>
      </c>
      <c r="C285" s="9" t="s">
        <v>70</v>
      </c>
      <c r="D285" s="10">
        <v>37044</v>
      </c>
      <c r="E285" s="9" t="s">
        <v>706</v>
      </c>
      <c r="F285" s="9" t="s">
        <v>66</v>
      </c>
      <c r="G285" s="9" t="str">
        <f>IF(Table1[[#This Row],[POHLAVI]]="M","Muž", "Žena")</f>
        <v>Muž</v>
      </c>
      <c r="H285" s="9">
        <v>284</v>
      </c>
      <c r="I285" s="9" t="s">
        <v>67</v>
      </c>
      <c r="J285" t="str">
        <f t="shared" si="4"/>
        <v>Erik Popelka</v>
      </c>
    </row>
    <row r="286" spans="1:10" ht="14.4" x14ac:dyDescent="0.3">
      <c r="A286" s="9" t="s">
        <v>139</v>
      </c>
      <c r="B286" s="9" t="s">
        <v>707</v>
      </c>
      <c r="C286" s="9" t="s">
        <v>70</v>
      </c>
      <c r="D286" s="10">
        <v>37054</v>
      </c>
      <c r="E286" s="9" t="s">
        <v>708</v>
      </c>
      <c r="F286" s="9" t="s">
        <v>66</v>
      </c>
      <c r="G286" s="9" t="str">
        <f>IF(Table1[[#This Row],[POHLAVI]]="M","Muž", "Žena")</f>
        <v>Muž</v>
      </c>
      <c r="H286" s="9">
        <v>285</v>
      </c>
      <c r="I286" s="9" t="s">
        <v>67</v>
      </c>
      <c r="J286" t="str">
        <f t="shared" si="4"/>
        <v>Josef Sáblík</v>
      </c>
    </row>
    <row r="287" spans="1:10" ht="14.4" x14ac:dyDescent="0.3">
      <c r="A287" s="9" t="s">
        <v>709</v>
      </c>
      <c r="B287" s="9" t="s">
        <v>710</v>
      </c>
      <c r="C287" s="9" t="s">
        <v>229</v>
      </c>
      <c r="D287" s="10">
        <v>36925</v>
      </c>
      <c r="E287" s="9" t="s">
        <v>711</v>
      </c>
      <c r="F287" s="9" t="s">
        <v>66</v>
      </c>
      <c r="G287" s="9" t="str">
        <f>IF(Table1[[#This Row],[POHLAVI]]="M","Muž", "Žena")</f>
        <v>Muž</v>
      </c>
      <c r="H287" s="9">
        <v>286</v>
      </c>
      <c r="I287" s="9" t="s">
        <v>67</v>
      </c>
      <c r="J287" t="str">
        <f t="shared" si="4"/>
        <v>Libor Sotona</v>
      </c>
    </row>
    <row r="288" spans="1:10" ht="14.4" x14ac:dyDescent="0.3">
      <c r="A288" s="9" t="s">
        <v>239</v>
      </c>
      <c r="B288" s="9" t="s">
        <v>712</v>
      </c>
      <c r="C288" s="9" t="s">
        <v>70</v>
      </c>
      <c r="D288" s="10">
        <v>36938</v>
      </c>
      <c r="E288" s="9" t="s">
        <v>713</v>
      </c>
      <c r="F288" s="9" t="s">
        <v>72</v>
      </c>
      <c r="G288" s="9" t="str">
        <f>IF(Table1[[#This Row],[POHLAVI]]="M","Muž", "Žena")</f>
        <v>Žena</v>
      </c>
      <c r="H288" s="9">
        <v>287</v>
      </c>
      <c r="I288" s="9" t="s">
        <v>67</v>
      </c>
      <c r="J288" t="str">
        <f t="shared" si="4"/>
        <v>Adéla Šišková</v>
      </c>
    </row>
    <row r="289" spans="1:10" ht="14.4" x14ac:dyDescent="0.3">
      <c r="A289" s="9" t="s">
        <v>86</v>
      </c>
      <c r="B289" s="9" t="s">
        <v>714</v>
      </c>
      <c r="C289" s="9" t="s">
        <v>70</v>
      </c>
      <c r="D289" s="10">
        <v>37046</v>
      </c>
      <c r="E289" s="9" t="s">
        <v>715</v>
      </c>
      <c r="F289" s="9" t="s">
        <v>66</v>
      </c>
      <c r="G289" s="9" t="str">
        <f>IF(Table1[[#This Row],[POHLAVI]]="M","Muž", "Žena")</f>
        <v>Muž</v>
      </c>
      <c r="H289" s="9">
        <v>288</v>
      </c>
      <c r="I289" s="9" t="s">
        <v>67</v>
      </c>
      <c r="J289" t="str">
        <f t="shared" si="4"/>
        <v>Matěj Škorpík</v>
      </c>
    </row>
    <row r="290" spans="1:10" ht="14.4" x14ac:dyDescent="0.3">
      <c r="A290" s="9" t="s">
        <v>716</v>
      </c>
      <c r="B290" s="9" t="s">
        <v>717</v>
      </c>
      <c r="C290" s="9" t="s">
        <v>70</v>
      </c>
      <c r="D290" s="10">
        <v>36687</v>
      </c>
      <c r="E290" s="9" t="s">
        <v>718</v>
      </c>
      <c r="F290" s="9" t="s">
        <v>72</v>
      </c>
      <c r="G290" s="9" t="str">
        <f>IF(Table1[[#This Row],[POHLAVI]]="M","Muž", "Žena")</f>
        <v>Žena</v>
      </c>
      <c r="H290" s="9">
        <v>289</v>
      </c>
      <c r="I290" s="9" t="s">
        <v>67</v>
      </c>
      <c r="J290" t="str">
        <f t="shared" si="4"/>
        <v>Iva Šmídová</v>
      </c>
    </row>
    <row r="291" spans="1:10" ht="14.4" x14ac:dyDescent="0.3">
      <c r="A291" s="9" t="s">
        <v>159</v>
      </c>
      <c r="B291" s="9" t="s">
        <v>540</v>
      </c>
      <c r="C291" s="9" t="s">
        <v>75</v>
      </c>
      <c r="D291" s="10">
        <v>36623</v>
      </c>
      <c r="E291" s="9" t="s">
        <v>719</v>
      </c>
      <c r="F291" s="9" t="s">
        <v>66</v>
      </c>
      <c r="G291" s="9" t="str">
        <f>IF(Table1[[#This Row],[POHLAVI]]="M","Muž", "Žena")</f>
        <v>Muž</v>
      </c>
      <c r="H291" s="9">
        <v>290</v>
      </c>
      <c r="I291" s="9" t="s">
        <v>67</v>
      </c>
      <c r="J291" t="str">
        <f t="shared" si="4"/>
        <v>Václav Trödler</v>
      </c>
    </row>
    <row r="292" spans="1:10" ht="14.4" x14ac:dyDescent="0.3">
      <c r="A292" s="9" t="s">
        <v>720</v>
      </c>
      <c r="B292" s="9" t="s">
        <v>721</v>
      </c>
      <c r="C292" s="9" t="s">
        <v>70</v>
      </c>
      <c r="D292" s="10">
        <v>36808</v>
      </c>
      <c r="E292" s="9" t="s">
        <v>722</v>
      </c>
      <c r="F292" s="9" t="s">
        <v>66</v>
      </c>
      <c r="G292" s="9" t="str">
        <f>IF(Table1[[#This Row],[POHLAVI]]="M","Muž", "Žena")</f>
        <v>Muž</v>
      </c>
      <c r="H292" s="9">
        <v>291</v>
      </c>
      <c r="I292" s="9" t="s">
        <v>67</v>
      </c>
      <c r="J292" t="str">
        <f t="shared" si="4"/>
        <v>Štěpán Veselý</v>
      </c>
    </row>
    <row r="293" spans="1:10" ht="14.4" x14ac:dyDescent="0.3">
      <c r="A293" s="9" t="s">
        <v>145</v>
      </c>
      <c r="B293" s="9" t="s">
        <v>723</v>
      </c>
      <c r="C293" s="9" t="s">
        <v>70</v>
      </c>
      <c r="D293" s="10">
        <v>36915</v>
      </c>
      <c r="E293" s="9" t="s">
        <v>724</v>
      </c>
      <c r="F293" s="9" t="s">
        <v>66</v>
      </c>
      <c r="G293" s="9" t="str">
        <f>IF(Table1[[#This Row],[POHLAVI]]="M","Muž", "Žena")</f>
        <v>Muž</v>
      </c>
      <c r="H293" s="9">
        <v>292</v>
      </c>
      <c r="I293" s="9" t="s">
        <v>80</v>
      </c>
      <c r="J293" t="str">
        <f t="shared" si="4"/>
        <v>Pavel Vítek</v>
      </c>
    </row>
    <row r="294" spans="1:10" ht="14.4" x14ac:dyDescent="0.3">
      <c r="A294" s="9" t="s">
        <v>572</v>
      </c>
      <c r="B294" s="9" t="s">
        <v>725</v>
      </c>
      <c r="C294" s="9" t="s">
        <v>70</v>
      </c>
      <c r="D294" s="10">
        <v>36959</v>
      </c>
      <c r="E294" s="9" t="s">
        <v>726</v>
      </c>
      <c r="F294" s="9" t="s">
        <v>72</v>
      </c>
      <c r="G294" s="9" t="str">
        <f>IF(Table1[[#This Row],[POHLAVI]]="M","Muž", "Žena")</f>
        <v>Žena</v>
      </c>
      <c r="H294" s="9">
        <v>293</v>
      </c>
      <c r="I294" s="9" t="s">
        <v>67</v>
      </c>
      <c r="J294" t="str">
        <f t="shared" si="4"/>
        <v>Kristýna Altová</v>
      </c>
    </row>
    <row r="295" spans="1:10" ht="14.4" x14ac:dyDescent="0.3">
      <c r="A295" s="9" t="s">
        <v>136</v>
      </c>
      <c r="B295" s="9" t="s">
        <v>727</v>
      </c>
      <c r="C295" s="9" t="s">
        <v>70</v>
      </c>
      <c r="D295" s="10">
        <v>36852</v>
      </c>
      <c r="E295" s="9" t="s">
        <v>728</v>
      </c>
      <c r="F295" s="9" t="s">
        <v>66</v>
      </c>
      <c r="G295" s="9" t="str">
        <f>IF(Table1[[#This Row],[POHLAVI]]="M","Muž", "Žena")</f>
        <v>Muž</v>
      </c>
      <c r="H295" s="9">
        <v>294</v>
      </c>
      <c r="I295" s="9" t="s">
        <v>67</v>
      </c>
      <c r="J295" t="str">
        <f t="shared" si="4"/>
        <v>Jan Bartoň</v>
      </c>
    </row>
    <row r="296" spans="1:10" ht="14.4" x14ac:dyDescent="0.3">
      <c r="A296" s="9" t="s">
        <v>729</v>
      </c>
      <c r="B296" s="9" t="s">
        <v>730</v>
      </c>
      <c r="C296" s="9" t="s">
        <v>70</v>
      </c>
      <c r="D296" s="10">
        <v>36577</v>
      </c>
      <c r="E296" s="9" t="s">
        <v>731</v>
      </c>
      <c r="F296" s="9" t="s">
        <v>72</v>
      </c>
      <c r="G296" s="9" t="str">
        <f>IF(Table1[[#This Row],[POHLAVI]]="M","Muž", "Žena")</f>
        <v>Žena</v>
      </c>
      <c r="H296" s="9">
        <v>295</v>
      </c>
      <c r="I296" s="9" t="s">
        <v>67</v>
      </c>
      <c r="J296" t="str">
        <f t="shared" si="4"/>
        <v>Valérie Bártová</v>
      </c>
    </row>
    <row r="297" spans="1:10" ht="14.4" x14ac:dyDescent="0.3">
      <c r="A297" s="9" t="s">
        <v>732</v>
      </c>
      <c r="B297" s="9" t="s">
        <v>446</v>
      </c>
      <c r="C297" s="9" t="s">
        <v>70</v>
      </c>
      <c r="D297" s="10">
        <v>36707</v>
      </c>
      <c r="E297" s="9" t="s">
        <v>733</v>
      </c>
      <c r="F297" s="9" t="s">
        <v>66</v>
      </c>
      <c r="G297" s="9" t="str">
        <f>IF(Table1[[#This Row],[POHLAVI]]="M","Muž", "Žena")</f>
        <v>Muž</v>
      </c>
      <c r="H297" s="9">
        <v>296</v>
      </c>
      <c r="I297" s="9" t="s">
        <v>67</v>
      </c>
      <c r="J297" t="str">
        <f t="shared" si="4"/>
        <v>Dominik Beneš</v>
      </c>
    </row>
    <row r="298" spans="1:10" ht="14.4" x14ac:dyDescent="0.3">
      <c r="A298" s="9" t="s">
        <v>572</v>
      </c>
      <c r="B298" s="9" t="s">
        <v>201</v>
      </c>
      <c r="C298" s="9" t="s">
        <v>75</v>
      </c>
      <c r="D298" s="10">
        <v>37031</v>
      </c>
      <c r="E298" s="9" t="s">
        <v>734</v>
      </c>
      <c r="F298" s="9" t="s">
        <v>72</v>
      </c>
      <c r="G298" s="9" t="str">
        <f>IF(Table1[[#This Row],[POHLAVI]]="M","Muž", "Žena")</f>
        <v>Žena</v>
      </c>
      <c r="H298" s="9">
        <v>297</v>
      </c>
      <c r="I298" s="9" t="s">
        <v>67</v>
      </c>
      <c r="J298" t="str">
        <f t="shared" si="4"/>
        <v>Kristýna Benešová</v>
      </c>
    </row>
    <row r="299" spans="1:10" ht="14.4" x14ac:dyDescent="0.3">
      <c r="A299" s="9" t="s">
        <v>735</v>
      </c>
      <c r="B299" s="9" t="s">
        <v>736</v>
      </c>
      <c r="C299" s="9" t="s">
        <v>70</v>
      </c>
      <c r="D299" s="10">
        <v>37064</v>
      </c>
      <c r="E299" s="9" t="s">
        <v>737</v>
      </c>
      <c r="F299" s="9" t="s">
        <v>72</v>
      </c>
      <c r="G299" s="9" t="str">
        <f>IF(Table1[[#This Row],[POHLAVI]]="M","Muž", "Žena")</f>
        <v>Žena</v>
      </c>
      <c r="H299" s="9">
        <v>298</v>
      </c>
      <c r="I299" s="9" t="s">
        <v>67</v>
      </c>
      <c r="J299" t="str">
        <f t="shared" si="4"/>
        <v>Beata Dudová</v>
      </c>
    </row>
    <row r="300" spans="1:10" ht="14.4" x14ac:dyDescent="0.3">
      <c r="A300" s="9" t="s">
        <v>124</v>
      </c>
      <c r="B300" s="9" t="s">
        <v>152</v>
      </c>
      <c r="C300" s="9" t="s">
        <v>75</v>
      </c>
      <c r="D300" s="10">
        <v>36677</v>
      </c>
      <c r="E300" s="9" t="s">
        <v>738</v>
      </c>
      <c r="F300" s="9" t="s">
        <v>66</v>
      </c>
      <c r="G300" s="9" t="str">
        <f>IF(Table1[[#This Row],[POHLAVI]]="M","Muž", "Žena")</f>
        <v>Muž</v>
      </c>
      <c r="H300" s="9">
        <v>299</v>
      </c>
      <c r="I300" s="9" t="s">
        <v>91</v>
      </c>
      <c r="J300" t="str">
        <f t="shared" si="4"/>
        <v>Michael Dvořák</v>
      </c>
    </row>
    <row r="301" spans="1:10" ht="14.4" x14ac:dyDescent="0.3">
      <c r="A301" s="9" t="s">
        <v>106</v>
      </c>
      <c r="B301" s="9" t="s">
        <v>739</v>
      </c>
      <c r="C301" s="9" t="s">
        <v>70</v>
      </c>
      <c r="D301" s="10">
        <v>36746</v>
      </c>
      <c r="E301" s="9" t="s">
        <v>740</v>
      </c>
      <c r="F301" s="9" t="s">
        <v>66</v>
      </c>
      <c r="G301" s="9" t="str">
        <f>IF(Table1[[#This Row],[POHLAVI]]="M","Muž", "Žena")</f>
        <v>Muž</v>
      </c>
      <c r="H301" s="9">
        <v>300</v>
      </c>
      <c r="I301" s="9" t="s">
        <v>67</v>
      </c>
      <c r="J301" t="str">
        <f t="shared" si="4"/>
        <v>Vojtěch Hadač</v>
      </c>
    </row>
    <row r="302" spans="1:10" ht="14.4" x14ac:dyDescent="0.3">
      <c r="A302" s="9" t="s">
        <v>97</v>
      </c>
      <c r="B302" s="9" t="s">
        <v>69</v>
      </c>
      <c r="C302" s="9" t="s">
        <v>70</v>
      </c>
      <c r="D302" s="10">
        <v>37013</v>
      </c>
      <c r="E302" s="9" t="s">
        <v>741</v>
      </c>
      <c r="F302" s="9" t="s">
        <v>72</v>
      </c>
      <c r="G302" s="9" t="str">
        <f>IF(Table1[[#This Row],[POHLAVI]]="M","Muž", "Žena")</f>
        <v>Žena</v>
      </c>
      <c r="H302" s="9">
        <v>301</v>
      </c>
      <c r="I302" s="9" t="s">
        <v>67</v>
      </c>
      <c r="J302" t="str">
        <f t="shared" si="4"/>
        <v>Michaela Heralová</v>
      </c>
    </row>
    <row r="303" spans="1:10" ht="14.4" x14ac:dyDescent="0.3">
      <c r="A303" s="9" t="s">
        <v>77</v>
      </c>
      <c r="B303" s="9" t="s">
        <v>742</v>
      </c>
      <c r="C303" s="9" t="s">
        <v>70</v>
      </c>
      <c r="D303" s="10">
        <v>36827</v>
      </c>
      <c r="E303" s="9" t="s">
        <v>743</v>
      </c>
      <c r="F303" s="9" t="s">
        <v>66</v>
      </c>
      <c r="G303" s="9" t="str">
        <f>IF(Table1[[#This Row],[POHLAVI]]="M","Muž", "Žena")</f>
        <v>Muž</v>
      </c>
      <c r="H303" s="9">
        <v>302</v>
      </c>
      <c r="I303" s="9" t="s">
        <v>67</v>
      </c>
      <c r="J303" t="str">
        <f t="shared" si="4"/>
        <v>Tomáš Chudoba</v>
      </c>
    </row>
    <row r="304" spans="1:10" ht="14.4" x14ac:dyDescent="0.3">
      <c r="A304" s="9" t="s">
        <v>744</v>
      </c>
      <c r="B304" s="9" t="s">
        <v>745</v>
      </c>
      <c r="C304" s="9" t="s">
        <v>75</v>
      </c>
      <c r="D304" s="10">
        <v>37082</v>
      </c>
      <c r="E304" s="9" t="s">
        <v>746</v>
      </c>
      <c r="F304" s="9" t="s">
        <v>72</v>
      </c>
      <c r="G304" s="9" t="str">
        <f>IF(Table1[[#This Row],[POHLAVI]]="M","Muž", "Žena")</f>
        <v>Žena</v>
      </c>
      <c r="H304" s="9">
        <v>303</v>
      </c>
      <c r="I304" s="9" t="s">
        <v>67</v>
      </c>
      <c r="J304" t="str">
        <f t="shared" si="4"/>
        <v>Bohdana Ivasyuk</v>
      </c>
    </row>
    <row r="305" spans="1:10" ht="14.4" x14ac:dyDescent="0.3">
      <c r="A305" s="9" t="s">
        <v>436</v>
      </c>
      <c r="B305" s="9" t="s">
        <v>747</v>
      </c>
      <c r="C305" s="9" t="s">
        <v>748</v>
      </c>
      <c r="D305" s="10">
        <v>36988</v>
      </c>
      <c r="E305" s="9" t="s">
        <v>749</v>
      </c>
      <c r="F305" s="9" t="s">
        <v>72</v>
      </c>
      <c r="G305" s="9" t="str">
        <f>IF(Table1[[#This Row],[POHLAVI]]="M","Muž", "Žena")</f>
        <v>Žena</v>
      </c>
      <c r="H305" s="9">
        <v>304</v>
      </c>
      <c r="I305" s="9" t="s">
        <v>67</v>
      </c>
      <c r="J305" t="str">
        <f t="shared" si="4"/>
        <v>Lucie Kadlecová</v>
      </c>
    </row>
    <row r="306" spans="1:10" ht="14.4" x14ac:dyDescent="0.3">
      <c r="A306" s="9" t="s">
        <v>436</v>
      </c>
      <c r="B306" s="9" t="s">
        <v>232</v>
      </c>
      <c r="C306" s="9" t="s">
        <v>70</v>
      </c>
      <c r="D306" s="10">
        <v>36825</v>
      </c>
      <c r="E306" s="9" t="s">
        <v>750</v>
      </c>
      <c r="F306" s="9" t="s">
        <v>72</v>
      </c>
      <c r="G306" s="9" t="str">
        <f>IF(Table1[[#This Row],[POHLAVI]]="M","Muž", "Žena")</f>
        <v>Žena</v>
      </c>
      <c r="H306" s="9">
        <v>305</v>
      </c>
      <c r="I306" s="9" t="s">
        <v>67</v>
      </c>
      <c r="J306" t="str">
        <f t="shared" si="4"/>
        <v>Lucie Kosourová</v>
      </c>
    </row>
    <row r="307" spans="1:10" ht="14.4" x14ac:dyDescent="0.3">
      <c r="A307" s="9" t="s">
        <v>278</v>
      </c>
      <c r="B307" s="9" t="s">
        <v>751</v>
      </c>
      <c r="C307" s="9" t="s">
        <v>70</v>
      </c>
      <c r="D307" s="10">
        <v>36843</v>
      </c>
      <c r="E307" s="9" t="s">
        <v>752</v>
      </c>
      <c r="F307" s="9" t="s">
        <v>66</v>
      </c>
      <c r="G307" s="9" t="str">
        <f>IF(Table1[[#This Row],[POHLAVI]]="M","Muž", "Žena")</f>
        <v>Muž</v>
      </c>
      <c r="H307" s="9">
        <v>306</v>
      </c>
      <c r="I307" s="9" t="s">
        <v>67</v>
      </c>
      <c r="J307" t="str">
        <f t="shared" si="4"/>
        <v>Jiří Krejčík</v>
      </c>
    </row>
    <row r="308" spans="1:10" ht="14.4" x14ac:dyDescent="0.3">
      <c r="A308" s="9" t="s">
        <v>148</v>
      </c>
      <c r="B308" s="9" t="s">
        <v>234</v>
      </c>
      <c r="C308" s="9" t="s">
        <v>70</v>
      </c>
      <c r="D308" s="10">
        <v>36779</v>
      </c>
      <c r="E308" s="9" t="s">
        <v>753</v>
      </c>
      <c r="F308" s="9" t="s">
        <v>66</v>
      </c>
      <c r="G308" s="9" t="str">
        <f>IF(Table1[[#This Row],[POHLAVI]]="M","Muž", "Žena")</f>
        <v>Muž</v>
      </c>
      <c r="H308" s="9">
        <v>307</v>
      </c>
      <c r="I308" s="9" t="s">
        <v>117</v>
      </c>
      <c r="J308" t="str">
        <f t="shared" si="4"/>
        <v>Daniel Kršek</v>
      </c>
    </row>
    <row r="309" spans="1:10" ht="14.4" x14ac:dyDescent="0.3">
      <c r="A309" s="9" t="s">
        <v>195</v>
      </c>
      <c r="B309" s="9" t="s">
        <v>240</v>
      </c>
      <c r="C309" s="9" t="s">
        <v>70</v>
      </c>
      <c r="D309" s="10">
        <v>36817</v>
      </c>
      <c r="E309" s="9" t="s">
        <v>754</v>
      </c>
      <c r="F309" s="9" t="s">
        <v>72</v>
      </c>
      <c r="G309" s="9" t="str">
        <f>IF(Table1[[#This Row],[POHLAVI]]="M","Muž", "Žena")</f>
        <v>Žena</v>
      </c>
      <c r="H309" s="9">
        <v>308</v>
      </c>
      <c r="I309" s="9" t="s">
        <v>67</v>
      </c>
      <c r="J309" t="str">
        <f t="shared" si="4"/>
        <v>Nina Křížová</v>
      </c>
    </row>
    <row r="310" spans="1:10" ht="14.4" x14ac:dyDescent="0.3">
      <c r="A310" s="9" t="s">
        <v>97</v>
      </c>
      <c r="B310" s="9" t="s">
        <v>508</v>
      </c>
      <c r="C310" s="9" t="s">
        <v>70</v>
      </c>
      <c r="D310" s="10">
        <v>37020</v>
      </c>
      <c r="E310" s="9" t="s">
        <v>755</v>
      </c>
      <c r="F310" s="9" t="s">
        <v>72</v>
      </c>
      <c r="G310" s="9" t="str">
        <f>IF(Table1[[#This Row],[POHLAVI]]="M","Muž", "Žena")</f>
        <v>Žena</v>
      </c>
      <c r="H310" s="9">
        <v>309</v>
      </c>
      <c r="I310" s="9" t="s">
        <v>67</v>
      </c>
      <c r="J310" t="str">
        <f t="shared" si="4"/>
        <v>Michaela Malinová</v>
      </c>
    </row>
    <row r="311" spans="1:10" ht="14.4" x14ac:dyDescent="0.3">
      <c r="A311" s="9" t="s">
        <v>756</v>
      </c>
      <c r="B311" s="9" t="s">
        <v>300</v>
      </c>
      <c r="C311" s="9" t="s">
        <v>75</v>
      </c>
      <c r="D311" s="10">
        <v>36795</v>
      </c>
      <c r="E311" s="9" t="s">
        <v>757</v>
      </c>
      <c r="F311" s="9" t="s">
        <v>66</v>
      </c>
      <c r="G311" s="9" t="str">
        <f>IF(Table1[[#This Row],[POHLAVI]]="M","Muž", "Žena")</f>
        <v>Muž</v>
      </c>
      <c r="H311" s="9">
        <v>310</v>
      </c>
      <c r="I311" s="9" t="s">
        <v>67</v>
      </c>
      <c r="J311" t="str">
        <f t="shared" si="4"/>
        <v>Jonáš Mareček</v>
      </c>
    </row>
    <row r="312" spans="1:10" ht="14.4" x14ac:dyDescent="0.3">
      <c r="A312" s="9" t="s">
        <v>467</v>
      </c>
      <c r="B312" s="9" t="s">
        <v>758</v>
      </c>
      <c r="C312" s="9" t="s">
        <v>70</v>
      </c>
      <c r="D312" s="10">
        <v>37059</v>
      </c>
      <c r="E312" s="9" t="s">
        <v>759</v>
      </c>
      <c r="F312" s="9" t="s">
        <v>66</v>
      </c>
      <c r="G312" s="9" t="str">
        <f>IF(Table1[[#This Row],[POHLAVI]]="M","Muž", "Žena")</f>
        <v>Muž</v>
      </c>
      <c r="H312" s="9">
        <v>311</v>
      </c>
      <c r="I312" s="9" t="s">
        <v>67</v>
      </c>
      <c r="J312" t="str">
        <f t="shared" si="4"/>
        <v>Jaromír Nedvěd</v>
      </c>
    </row>
    <row r="313" spans="1:10" ht="14.4" x14ac:dyDescent="0.3">
      <c r="A313" s="9" t="s">
        <v>136</v>
      </c>
      <c r="B313" s="9" t="s">
        <v>760</v>
      </c>
      <c r="C313" s="9" t="s">
        <v>70</v>
      </c>
      <c r="D313" s="10">
        <v>36880</v>
      </c>
      <c r="E313" s="9" t="s">
        <v>761</v>
      </c>
      <c r="F313" s="9" t="s">
        <v>66</v>
      </c>
      <c r="G313" s="9" t="str">
        <f>IF(Table1[[#This Row],[POHLAVI]]="M","Muž", "Žena")</f>
        <v>Muž</v>
      </c>
      <c r="H313" s="9">
        <v>312</v>
      </c>
      <c r="I313" s="9" t="s">
        <v>67</v>
      </c>
      <c r="J313" t="str">
        <f t="shared" si="4"/>
        <v>Jan Palaščák</v>
      </c>
    </row>
    <row r="314" spans="1:10" ht="14.4" x14ac:dyDescent="0.3">
      <c r="A314" s="9" t="s">
        <v>148</v>
      </c>
      <c r="B314" s="9" t="s">
        <v>762</v>
      </c>
      <c r="C314" s="9" t="s">
        <v>70</v>
      </c>
      <c r="D314" s="10">
        <v>36979</v>
      </c>
      <c r="E314" s="9" t="s">
        <v>763</v>
      </c>
      <c r="F314" s="9" t="s">
        <v>66</v>
      </c>
      <c r="G314" s="9" t="str">
        <f>IF(Table1[[#This Row],[POHLAVI]]="M","Muž", "Žena")</f>
        <v>Muž</v>
      </c>
      <c r="H314" s="9">
        <v>313</v>
      </c>
      <c r="I314" s="9" t="s">
        <v>80</v>
      </c>
      <c r="J314" t="str">
        <f t="shared" si="4"/>
        <v>Daniel Pintera</v>
      </c>
    </row>
    <row r="315" spans="1:10" ht="14.4" x14ac:dyDescent="0.3">
      <c r="A315" s="9" t="s">
        <v>133</v>
      </c>
      <c r="B315" s="9" t="s">
        <v>312</v>
      </c>
      <c r="C315" s="9" t="s">
        <v>70</v>
      </c>
      <c r="D315" s="10">
        <v>36775</v>
      </c>
      <c r="E315" s="9" t="s">
        <v>764</v>
      </c>
      <c r="F315" s="9" t="s">
        <v>72</v>
      </c>
      <c r="G315" s="9" t="str">
        <f>IF(Table1[[#This Row],[POHLAVI]]="M","Muž", "Žena")</f>
        <v>Žena</v>
      </c>
      <c r="H315" s="9">
        <v>314</v>
      </c>
      <c r="I315" s="9" t="s">
        <v>67</v>
      </c>
      <c r="J315" t="str">
        <f t="shared" si="4"/>
        <v>Tereza Šebková</v>
      </c>
    </row>
    <row r="316" spans="1:10" ht="14.4" x14ac:dyDescent="0.3">
      <c r="A316" s="9" t="s">
        <v>183</v>
      </c>
      <c r="B316" s="9" t="s">
        <v>319</v>
      </c>
      <c r="C316" s="9" t="s">
        <v>70</v>
      </c>
      <c r="D316" s="10">
        <v>36935</v>
      </c>
      <c r="E316" s="9" t="s">
        <v>765</v>
      </c>
      <c r="F316" s="9" t="s">
        <v>72</v>
      </c>
      <c r="G316" s="9" t="str">
        <f>IF(Table1[[#This Row],[POHLAVI]]="M","Muž", "Žena")</f>
        <v>Žena</v>
      </c>
      <c r="H316" s="9">
        <v>315</v>
      </c>
      <c r="I316" s="9" t="s">
        <v>67</v>
      </c>
      <c r="J316" t="str">
        <f t="shared" si="4"/>
        <v>Anna Štrofová</v>
      </c>
    </row>
    <row r="317" spans="1:10" ht="14.4" x14ac:dyDescent="0.3">
      <c r="A317" s="9" t="s">
        <v>386</v>
      </c>
      <c r="B317" s="9" t="s">
        <v>766</v>
      </c>
      <c r="C317" s="9" t="s">
        <v>75</v>
      </c>
      <c r="D317" s="10">
        <v>36637</v>
      </c>
      <c r="E317" s="9" t="s">
        <v>767</v>
      </c>
      <c r="F317" s="9" t="s">
        <v>66</v>
      </c>
      <c r="G317" s="9" t="str">
        <f>IF(Table1[[#This Row],[POHLAVI]]="M","Muž", "Žena")</f>
        <v>Muž</v>
      </c>
      <c r="H317" s="9">
        <v>316</v>
      </c>
      <c r="I317" s="9" t="s">
        <v>67</v>
      </c>
      <c r="J317" t="str">
        <f t="shared" si="4"/>
        <v>Michal Vago</v>
      </c>
    </row>
    <row r="318" spans="1:10" ht="14.4" x14ac:dyDescent="0.3">
      <c r="A318" s="9" t="s">
        <v>768</v>
      </c>
      <c r="B318" s="9" t="s">
        <v>769</v>
      </c>
      <c r="C318" s="9" t="s">
        <v>70</v>
      </c>
      <c r="D318" s="10">
        <v>36807</v>
      </c>
      <c r="E318" s="9" t="s">
        <v>770</v>
      </c>
      <c r="F318" s="9" t="s">
        <v>72</v>
      </c>
      <c r="G318" s="9" t="str">
        <f>IF(Table1[[#This Row],[POHLAVI]]="M","Muž", "Žena")</f>
        <v>Žena</v>
      </c>
      <c r="H318" s="9">
        <v>317</v>
      </c>
      <c r="I318" s="9" t="s">
        <v>67</v>
      </c>
      <c r="J318" t="str">
        <f t="shared" si="4"/>
        <v>Klára Vencálková</v>
      </c>
    </row>
    <row r="319" spans="1:10" ht="14.4" x14ac:dyDescent="0.3">
      <c r="A319" s="9" t="s">
        <v>106</v>
      </c>
      <c r="B319" s="9" t="s">
        <v>721</v>
      </c>
      <c r="C319" s="9" t="s">
        <v>637</v>
      </c>
      <c r="D319" s="10">
        <v>36872</v>
      </c>
      <c r="E319" s="9" t="s">
        <v>771</v>
      </c>
      <c r="F319" s="9" t="s">
        <v>66</v>
      </c>
      <c r="G319" s="9" t="str">
        <f>IF(Table1[[#This Row],[POHLAVI]]="M","Muž", "Žena")</f>
        <v>Muž</v>
      </c>
      <c r="H319" s="9">
        <v>318</v>
      </c>
      <c r="I319" s="9" t="s">
        <v>67</v>
      </c>
      <c r="J319" t="str">
        <f t="shared" si="4"/>
        <v>Vojtěch Veselý</v>
      </c>
    </row>
    <row r="320" spans="1:10" ht="14.4" x14ac:dyDescent="0.3">
      <c r="A320" s="9" t="s">
        <v>103</v>
      </c>
      <c r="B320" s="9" t="s">
        <v>723</v>
      </c>
      <c r="C320" s="9" t="s">
        <v>70</v>
      </c>
      <c r="D320" s="10">
        <v>37021</v>
      </c>
      <c r="E320" s="9" t="s">
        <v>772</v>
      </c>
      <c r="F320" s="9" t="s">
        <v>66</v>
      </c>
      <c r="G320" s="9" t="str">
        <f>IF(Table1[[#This Row],[POHLAVI]]="M","Muž", "Žena")</f>
        <v>Muž</v>
      </c>
      <c r="H320" s="9">
        <v>319</v>
      </c>
      <c r="I320" s="9" t="s">
        <v>91</v>
      </c>
      <c r="J320" t="str">
        <f t="shared" si="4"/>
        <v>Jakub Vítek</v>
      </c>
    </row>
    <row r="321" spans="1:10" ht="14.4" x14ac:dyDescent="0.3">
      <c r="A321" s="9" t="s">
        <v>386</v>
      </c>
      <c r="B321" s="9" t="s">
        <v>384</v>
      </c>
      <c r="C321" s="9" t="s">
        <v>70</v>
      </c>
      <c r="D321" s="10">
        <v>37093</v>
      </c>
      <c r="E321" s="9" t="s">
        <v>773</v>
      </c>
      <c r="F321" s="9" t="s">
        <v>66</v>
      </c>
      <c r="G321" s="9" t="str">
        <f>IF(Table1[[#This Row],[POHLAVI]]="M","Muž", "Žena")</f>
        <v>Muž</v>
      </c>
      <c r="H321" s="9">
        <v>320</v>
      </c>
      <c r="I321" s="9" t="s">
        <v>67</v>
      </c>
      <c r="J321" t="str">
        <f t="shared" si="4"/>
        <v>Michal Žák</v>
      </c>
    </row>
    <row r="322" spans="1:10" ht="14.4" x14ac:dyDescent="0.3">
      <c r="A322" s="9" t="s">
        <v>774</v>
      </c>
      <c r="B322" s="9" t="s">
        <v>775</v>
      </c>
      <c r="C322" s="9" t="s">
        <v>75</v>
      </c>
      <c r="D322" s="10">
        <v>37096</v>
      </c>
      <c r="E322" s="9" t="s">
        <v>776</v>
      </c>
      <c r="F322" s="9" t="s">
        <v>72</v>
      </c>
      <c r="G322" s="9" t="str">
        <f>IF(Table1[[#This Row],[POHLAVI]]="M","Muž", "Žena")</f>
        <v>Žena</v>
      </c>
      <c r="H322" s="9">
        <v>321</v>
      </c>
      <c r="I322" s="9" t="s">
        <v>67</v>
      </c>
      <c r="J322" t="str">
        <f t="shared" si="4"/>
        <v>Natalie Atanasiadu</v>
      </c>
    </row>
    <row r="323" spans="1:10" ht="14.4" x14ac:dyDescent="0.3">
      <c r="A323" s="9" t="s">
        <v>236</v>
      </c>
      <c r="B323" s="9" t="s">
        <v>777</v>
      </c>
      <c r="C323" s="9" t="s">
        <v>70</v>
      </c>
      <c r="D323" s="10">
        <v>37043</v>
      </c>
      <c r="E323" s="9" t="s">
        <v>778</v>
      </c>
      <c r="F323" s="9" t="s">
        <v>66</v>
      </c>
      <c r="G323" s="9" t="str">
        <f>IF(Table1[[#This Row],[POHLAVI]]="M","Muž", "Žena")</f>
        <v>Muž</v>
      </c>
      <c r="H323" s="9">
        <v>322</v>
      </c>
      <c r="I323" s="9" t="s">
        <v>67</v>
      </c>
      <c r="J323" t="str">
        <f t="shared" ref="J323:J386" si="5">_xlfn.TEXTJOIN(" ",1,$A323:$B323)</f>
        <v>Jaroslav Bartoš</v>
      </c>
    </row>
    <row r="324" spans="1:10" ht="14.4" x14ac:dyDescent="0.3">
      <c r="A324" s="9" t="s">
        <v>692</v>
      </c>
      <c r="B324" s="9" t="s">
        <v>779</v>
      </c>
      <c r="C324" s="9" t="s">
        <v>70</v>
      </c>
      <c r="D324" s="10">
        <v>36737</v>
      </c>
      <c r="E324" s="9" t="s">
        <v>780</v>
      </c>
      <c r="F324" s="9" t="s">
        <v>72</v>
      </c>
      <c r="G324" s="9" t="str">
        <f>IF(Table1[[#This Row],[POHLAVI]]="M","Muž", "Žena")</f>
        <v>Žena</v>
      </c>
      <c r="H324" s="9">
        <v>323</v>
      </c>
      <c r="I324" s="9" t="s">
        <v>67</v>
      </c>
      <c r="J324" t="str">
        <f t="shared" si="5"/>
        <v>Julie Bartušková</v>
      </c>
    </row>
    <row r="325" spans="1:10" ht="14.4" x14ac:dyDescent="0.3">
      <c r="A325" s="9" t="s">
        <v>183</v>
      </c>
      <c r="B325" s="9" t="s">
        <v>781</v>
      </c>
      <c r="C325" s="9" t="s">
        <v>70</v>
      </c>
      <c r="D325" s="10">
        <v>36668</v>
      </c>
      <c r="E325" s="9" t="s">
        <v>782</v>
      </c>
      <c r="F325" s="9" t="s">
        <v>72</v>
      </c>
      <c r="G325" s="9" t="str">
        <f>IF(Table1[[#This Row],[POHLAVI]]="M","Muž", "Žena")</f>
        <v>Žena</v>
      </c>
      <c r="H325" s="9">
        <v>324</v>
      </c>
      <c r="I325" s="9" t="s">
        <v>67</v>
      </c>
      <c r="J325" t="str">
        <f t="shared" si="5"/>
        <v>Anna Bílková</v>
      </c>
    </row>
    <row r="326" spans="1:10" ht="14.4" x14ac:dyDescent="0.3">
      <c r="A326" s="9" t="s">
        <v>339</v>
      </c>
      <c r="B326" s="9" t="s">
        <v>783</v>
      </c>
      <c r="C326" s="9" t="s">
        <v>70</v>
      </c>
      <c r="D326" s="10">
        <v>36963</v>
      </c>
      <c r="E326" s="9" t="s">
        <v>784</v>
      </c>
      <c r="F326" s="9" t="s">
        <v>72</v>
      </c>
      <c r="G326" s="9" t="str">
        <f>IF(Table1[[#This Row],[POHLAVI]]="M","Muž", "Žena")</f>
        <v>Žena</v>
      </c>
      <c r="H326" s="9">
        <v>325</v>
      </c>
      <c r="I326" s="9" t="s">
        <v>67</v>
      </c>
      <c r="J326" t="str">
        <f t="shared" si="5"/>
        <v>Vendula Blažková</v>
      </c>
    </row>
    <row r="327" spans="1:10" ht="14.4" x14ac:dyDescent="0.3">
      <c r="A327" s="9" t="s">
        <v>785</v>
      </c>
      <c r="B327" s="9" t="s">
        <v>786</v>
      </c>
      <c r="C327" s="9" t="s">
        <v>70</v>
      </c>
      <c r="D327" s="10">
        <v>36698</v>
      </c>
      <c r="E327" s="9" t="s">
        <v>787</v>
      </c>
      <c r="F327" s="9" t="s">
        <v>66</v>
      </c>
      <c r="G327" s="9" t="str">
        <f>IF(Table1[[#This Row],[POHLAVI]]="M","Muž", "Žena")</f>
        <v>Muž</v>
      </c>
      <c r="H327" s="9">
        <v>326</v>
      </c>
      <c r="I327" s="9" t="s">
        <v>67</v>
      </c>
      <c r="J327" t="str">
        <f t="shared" si="5"/>
        <v>Jurij Gloziga</v>
      </c>
    </row>
    <row r="328" spans="1:10" ht="14.4" x14ac:dyDescent="0.3">
      <c r="A328" s="9" t="s">
        <v>145</v>
      </c>
      <c r="B328" s="9" t="s">
        <v>788</v>
      </c>
      <c r="C328" s="9" t="s">
        <v>70</v>
      </c>
      <c r="D328" s="10">
        <v>36725</v>
      </c>
      <c r="E328" s="9" t="s">
        <v>789</v>
      </c>
      <c r="F328" s="9" t="s">
        <v>66</v>
      </c>
      <c r="G328" s="9" t="str">
        <f>IF(Table1[[#This Row],[POHLAVI]]="M","Muž", "Žena")</f>
        <v>Muž</v>
      </c>
      <c r="H328" s="9">
        <v>327</v>
      </c>
      <c r="I328" s="9" t="s">
        <v>67</v>
      </c>
      <c r="J328" t="str">
        <f t="shared" si="5"/>
        <v>Pavel Harvánek</v>
      </c>
    </row>
    <row r="329" spans="1:10" ht="14.4" x14ac:dyDescent="0.3">
      <c r="A329" s="9" t="s">
        <v>118</v>
      </c>
      <c r="B329" s="9" t="s">
        <v>403</v>
      </c>
      <c r="C329" s="9" t="s">
        <v>70</v>
      </c>
      <c r="D329" s="10">
        <v>36488</v>
      </c>
      <c r="E329" s="9" t="s">
        <v>790</v>
      </c>
      <c r="F329" s="9" t="s">
        <v>72</v>
      </c>
      <c r="G329" s="9" t="str">
        <f>IF(Table1[[#This Row],[POHLAVI]]="M","Muž", "Žena")</f>
        <v>Žena</v>
      </c>
      <c r="H329" s="9">
        <v>328</v>
      </c>
      <c r="I329" s="9" t="s">
        <v>67</v>
      </c>
      <c r="J329" t="str">
        <f t="shared" si="5"/>
        <v>Eliška Humlíčková</v>
      </c>
    </row>
    <row r="330" spans="1:10" ht="14.4" x14ac:dyDescent="0.3">
      <c r="A330" s="9" t="s">
        <v>791</v>
      </c>
      <c r="B330" s="9" t="s">
        <v>78</v>
      </c>
      <c r="C330" s="9" t="s">
        <v>70</v>
      </c>
      <c r="D330" s="10">
        <v>36320</v>
      </c>
      <c r="E330" s="9" t="s">
        <v>792</v>
      </c>
      <c r="F330" s="9" t="s">
        <v>66</v>
      </c>
      <c r="G330" s="9" t="str">
        <f>IF(Table1[[#This Row],[POHLAVI]]="M","Muž", "Žena")</f>
        <v>Muž</v>
      </c>
      <c r="H330" s="9">
        <v>329</v>
      </c>
      <c r="I330" s="9" t="s">
        <v>67</v>
      </c>
      <c r="J330" t="str">
        <f t="shared" si="5"/>
        <v>Denis Jano</v>
      </c>
    </row>
    <row r="331" spans="1:10" ht="14.4" x14ac:dyDescent="0.3">
      <c r="A331" s="9" t="s">
        <v>127</v>
      </c>
      <c r="B331" s="9" t="s">
        <v>793</v>
      </c>
      <c r="C331" s="9" t="s">
        <v>70</v>
      </c>
      <c r="D331" s="10">
        <v>36737</v>
      </c>
      <c r="E331" s="9" t="s">
        <v>794</v>
      </c>
      <c r="F331" s="9" t="s">
        <v>66</v>
      </c>
      <c r="G331" s="9" t="str">
        <f>IF(Table1[[#This Row],[POHLAVI]]="M","Muž", "Žena")</f>
        <v>Muž</v>
      </c>
      <c r="H331" s="9">
        <v>330</v>
      </c>
      <c r="I331" s="9" t="s">
        <v>91</v>
      </c>
      <c r="J331" t="str">
        <f t="shared" si="5"/>
        <v>Martin Koutník</v>
      </c>
    </row>
    <row r="332" spans="1:10" ht="14.4" x14ac:dyDescent="0.3">
      <c r="A332" s="9" t="s">
        <v>145</v>
      </c>
      <c r="B332" s="9" t="s">
        <v>795</v>
      </c>
      <c r="C332" s="9" t="s">
        <v>70</v>
      </c>
      <c r="D332" s="10">
        <v>36652</v>
      </c>
      <c r="E332" s="9" t="s">
        <v>796</v>
      </c>
      <c r="F332" s="9" t="s">
        <v>66</v>
      </c>
      <c r="G332" s="9" t="str">
        <f>IF(Table1[[#This Row],[POHLAVI]]="M","Muž", "Žena")</f>
        <v>Muž</v>
      </c>
      <c r="H332" s="9">
        <v>331</v>
      </c>
      <c r="I332" s="9" t="s">
        <v>67</v>
      </c>
      <c r="J332" t="str">
        <f t="shared" si="5"/>
        <v>Pavel Kubík</v>
      </c>
    </row>
    <row r="333" spans="1:10" ht="14.4" x14ac:dyDescent="0.3">
      <c r="A333" s="9" t="s">
        <v>127</v>
      </c>
      <c r="B333" s="9" t="s">
        <v>797</v>
      </c>
      <c r="C333" s="9" t="s">
        <v>70</v>
      </c>
      <c r="D333" s="10">
        <v>36706</v>
      </c>
      <c r="E333" s="9" t="s">
        <v>798</v>
      </c>
      <c r="F333" s="9" t="s">
        <v>66</v>
      </c>
      <c r="G333" s="9" t="str">
        <f>IF(Table1[[#This Row],[POHLAVI]]="M","Muž", "Žena")</f>
        <v>Muž</v>
      </c>
      <c r="H333" s="9">
        <v>332</v>
      </c>
      <c r="I333" s="9" t="s">
        <v>67</v>
      </c>
      <c r="J333" t="str">
        <f t="shared" si="5"/>
        <v>Martin Laštovička</v>
      </c>
    </row>
    <row r="334" spans="1:10" ht="14.4" x14ac:dyDescent="0.3">
      <c r="A334" s="9" t="s">
        <v>354</v>
      </c>
      <c r="B334" s="9" t="s">
        <v>799</v>
      </c>
      <c r="C334" s="9" t="s">
        <v>70</v>
      </c>
      <c r="D334" s="10">
        <v>36652</v>
      </c>
      <c r="E334" s="9" t="s">
        <v>800</v>
      </c>
      <c r="F334" s="9" t="s">
        <v>66</v>
      </c>
      <c r="G334" s="9" t="str">
        <f>IF(Table1[[#This Row],[POHLAVI]]="M","Muž", "Žena")</f>
        <v>Muž</v>
      </c>
      <c r="H334" s="9">
        <v>333</v>
      </c>
      <c r="I334" s="9" t="s">
        <v>67</v>
      </c>
      <c r="J334" t="str">
        <f t="shared" si="5"/>
        <v>Šimon Mihola</v>
      </c>
    </row>
    <row r="335" spans="1:10" ht="14.4" x14ac:dyDescent="0.3">
      <c r="A335" s="9" t="s">
        <v>136</v>
      </c>
      <c r="B335" s="9" t="s">
        <v>703</v>
      </c>
      <c r="C335" s="9" t="s">
        <v>70</v>
      </c>
      <c r="D335" s="10">
        <v>36328</v>
      </c>
      <c r="E335" s="9" t="s">
        <v>801</v>
      </c>
      <c r="F335" s="9" t="s">
        <v>66</v>
      </c>
      <c r="G335" s="9" t="str">
        <f>IF(Table1[[#This Row],[POHLAVI]]="M","Muž", "Žena")</f>
        <v>Muž</v>
      </c>
      <c r="H335" s="9">
        <v>334</v>
      </c>
      <c r="I335" s="9" t="s">
        <v>67</v>
      </c>
      <c r="J335" t="str">
        <f t="shared" si="5"/>
        <v>Jan Polnický</v>
      </c>
    </row>
    <row r="336" spans="1:10" ht="14.4" x14ac:dyDescent="0.3">
      <c r="A336" s="9" t="s">
        <v>386</v>
      </c>
      <c r="B336" s="9" t="s">
        <v>112</v>
      </c>
      <c r="C336" s="9" t="s">
        <v>70</v>
      </c>
      <c r="D336" s="10">
        <v>36640</v>
      </c>
      <c r="E336" s="9" t="s">
        <v>802</v>
      </c>
      <c r="F336" s="9" t="s">
        <v>66</v>
      </c>
      <c r="G336" s="9" t="str">
        <f>IF(Table1[[#This Row],[POHLAVI]]="M","Muž", "Žena")</f>
        <v>Muž</v>
      </c>
      <c r="H336" s="9">
        <v>335</v>
      </c>
      <c r="I336" s="9" t="s">
        <v>67</v>
      </c>
      <c r="J336" t="str">
        <f t="shared" si="5"/>
        <v>Michal Sivák</v>
      </c>
    </row>
    <row r="337" spans="1:10" ht="14.4" x14ac:dyDescent="0.3">
      <c r="A337" s="9" t="s">
        <v>159</v>
      </c>
      <c r="B337" s="9" t="s">
        <v>181</v>
      </c>
      <c r="C337" s="9" t="s">
        <v>70</v>
      </c>
      <c r="D337" s="10">
        <v>36655</v>
      </c>
      <c r="E337" s="9" t="s">
        <v>803</v>
      </c>
      <c r="F337" s="9" t="s">
        <v>66</v>
      </c>
      <c r="G337" s="9" t="str">
        <f>IF(Table1[[#This Row],[POHLAVI]]="M","Muž", "Žena")</f>
        <v>Muž</v>
      </c>
      <c r="H337" s="9">
        <v>336</v>
      </c>
      <c r="I337" s="9" t="s">
        <v>117</v>
      </c>
      <c r="J337" t="str">
        <f t="shared" si="5"/>
        <v>Václav Sláma</v>
      </c>
    </row>
    <row r="338" spans="1:10" ht="14.4" x14ac:dyDescent="0.3">
      <c r="A338" s="9" t="s">
        <v>255</v>
      </c>
      <c r="B338" s="9" t="s">
        <v>424</v>
      </c>
      <c r="C338" s="9" t="s">
        <v>70</v>
      </c>
      <c r="D338" s="10">
        <v>36508</v>
      </c>
      <c r="E338" s="9" t="s">
        <v>804</v>
      </c>
      <c r="F338" s="9" t="s">
        <v>72</v>
      </c>
      <c r="G338" s="9" t="str">
        <f>IF(Table1[[#This Row],[POHLAVI]]="M","Muž", "Žena")</f>
        <v>Žena</v>
      </c>
      <c r="H338" s="9">
        <v>337</v>
      </c>
      <c r="I338" s="9" t="s">
        <v>67</v>
      </c>
      <c r="J338" t="str">
        <f t="shared" si="5"/>
        <v>Aneta Slámová</v>
      </c>
    </row>
    <row r="339" spans="1:10" ht="14.4" x14ac:dyDescent="0.3">
      <c r="A339" s="9" t="s">
        <v>493</v>
      </c>
      <c r="B339" s="9" t="s">
        <v>424</v>
      </c>
      <c r="C339" s="9" t="s">
        <v>70</v>
      </c>
      <c r="D339" s="10">
        <v>36571</v>
      </c>
      <c r="E339" s="9" t="s">
        <v>805</v>
      </c>
      <c r="F339" s="9" t="s">
        <v>72</v>
      </c>
      <c r="G339" s="9" t="str">
        <f>IF(Table1[[#This Row],[POHLAVI]]="M","Muž", "Žena")</f>
        <v>Žena</v>
      </c>
      <c r="H339" s="9">
        <v>338</v>
      </c>
      <c r="I339" s="9" t="s">
        <v>67</v>
      </c>
      <c r="J339" t="str">
        <f t="shared" si="5"/>
        <v>Daniela Slámová</v>
      </c>
    </row>
    <row r="340" spans="1:10" ht="14.4" x14ac:dyDescent="0.3">
      <c r="A340" s="9" t="s">
        <v>311</v>
      </c>
      <c r="B340" s="9" t="s">
        <v>424</v>
      </c>
      <c r="C340" s="9" t="s">
        <v>70</v>
      </c>
      <c r="D340" s="10">
        <v>36715</v>
      </c>
      <c r="E340" s="9" t="s">
        <v>806</v>
      </c>
      <c r="F340" s="9" t="s">
        <v>72</v>
      </c>
      <c r="G340" s="9" t="str">
        <f>IF(Table1[[#This Row],[POHLAVI]]="M","Muž", "Žena")</f>
        <v>Žena</v>
      </c>
      <c r="H340" s="9">
        <v>339</v>
      </c>
      <c r="I340" s="9" t="s">
        <v>67</v>
      </c>
      <c r="J340" t="str">
        <f t="shared" si="5"/>
        <v>Nikola Slámová</v>
      </c>
    </row>
    <row r="341" spans="1:10" ht="14.4" x14ac:dyDescent="0.3">
      <c r="A341" s="9" t="s">
        <v>321</v>
      </c>
      <c r="B341" s="9" t="s">
        <v>531</v>
      </c>
      <c r="C341" s="9" t="s">
        <v>807</v>
      </c>
      <c r="D341" s="10">
        <v>36589</v>
      </c>
      <c r="E341" s="9" t="s">
        <v>808</v>
      </c>
      <c r="F341" s="9" t="s">
        <v>72</v>
      </c>
      <c r="G341" s="9" t="str">
        <f>IF(Table1[[#This Row],[POHLAVI]]="M","Muž", "Žena")</f>
        <v>Žena</v>
      </c>
      <c r="H341" s="9">
        <v>340</v>
      </c>
      <c r="I341" s="9" t="s">
        <v>67</v>
      </c>
      <c r="J341" t="str">
        <f t="shared" si="5"/>
        <v>Denisa Svobodová</v>
      </c>
    </row>
    <row r="342" spans="1:10" ht="14.4" x14ac:dyDescent="0.3">
      <c r="A342" s="9" t="s">
        <v>809</v>
      </c>
      <c r="B342" s="9" t="s">
        <v>810</v>
      </c>
      <c r="C342" s="9" t="s">
        <v>70</v>
      </c>
      <c r="D342" s="10">
        <v>36383</v>
      </c>
      <c r="E342" s="9" t="s">
        <v>811</v>
      </c>
      <c r="F342" s="9" t="s">
        <v>66</v>
      </c>
      <c r="G342" s="9" t="str">
        <f>IF(Table1[[#This Row],[POHLAVI]]="M","Muž", "Žena")</f>
        <v>Muž</v>
      </c>
      <c r="H342" s="9">
        <v>341</v>
      </c>
      <c r="I342" s="9" t="s">
        <v>67</v>
      </c>
      <c r="J342" t="str">
        <f t="shared" si="5"/>
        <v>Bohuslav Šotola</v>
      </c>
    </row>
    <row r="343" spans="1:10" ht="14.4" x14ac:dyDescent="0.3">
      <c r="A343" s="9" t="s">
        <v>572</v>
      </c>
      <c r="B343" s="9" t="s">
        <v>193</v>
      </c>
      <c r="C343" s="9" t="s">
        <v>70</v>
      </c>
      <c r="D343" s="10">
        <v>36508</v>
      </c>
      <c r="E343" s="9" t="s">
        <v>812</v>
      </c>
      <c r="F343" s="9" t="s">
        <v>72</v>
      </c>
      <c r="G343" s="9" t="str">
        <f>IF(Table1[[#This Row],[POHLAVI]]="M","Muž", "Žena")</f>
        <v>Žena</v>
      </c>
      <c r="H343" s="9">
        <v>342</v>
      </c>
      <c r="I343" s="9" t="s">
        <v>67</v>
      </c>
      <c r="J343" t="str">
        <f t="shared" si="5"/>
        <v>Kristýna Tatíčková</v>
      </c>
    </row>
    <row r="344" spans="1:10" ht="14.4" x14ac:dyDescent="0.3">
      <c r="A344" s="9" t="s">
        <v>133</v>
      </c>
      <c r="B344" s="9" t="s">
        <v>813</v>
      </c>
      <c r="C344" s="9" t="s">
        <v>70</v>
      </c>
      <c r="D344" s="10">
        <v>36724</v>
      </c>
      <c r="E344" s="9" t="s">
        <v>814</v>
      </c>
      <c r="F344" s="9" t="s">
        <v>72</v>
      </c>
      <c r="G344" s="9" t="str">
        <f>IF(Table1[[#This Row],[POHLAVI]]="M","Muž", "Žena")</f>
        <v>Žena</v>
      </c>
      <c r="H344" s="9">
        <v>343</v>
      </c>
      <c r="I344" s="9" t="s">
        <v>67</v>
      </c>
      <c r="J344" t="str">
        <f t="shared" si="5"/>
        <v>Tereza Topinková</v>
      </c>
    </row>
    <row r="345" spans="1:10" ht="14.4" x14ac:dyDescent="0.3">
      <c r="A345" s="9" t="s">
        <v>151</v>
      </c>
      <c r="B345" s="9" t="s">
        <v>723</v>
      </c>
      <c r="C345" s="9" t="s">
        <v>70</v>
      </c>
      <c r="D345" s="10">
        <v>36658</v>
      </c>
      <c r="E345" s="9" t="s">
        <v>815</v>
      </c>
      <c r="F345" s="9" t="s">
        <v>66</v>
      </c>
      <c r="G345" s="9" t="str">
        <f>IF(Table1[[#This Row],[POHLAVI]]="M","Muž", "Žena")</f>
        <v>Muž</v>
      </c>
      <c r="H345" s="9">
        <v>344</v>
      </c>
      <c r="I345" s="9" t="s">
        <v>67</v>
      </c>
      <c r="J345" t="str">
        <f t="shared" si="5"/>
        <v>Petr Vítek</v>
      </c>
    </row>
    <row r="346" spans="1:10" ht="14.4" x14ac:dyDescent="0.3">
      <c r="A346" s="9" t="s">
        <v>311</v>
      </c>
      <c r="B346" s="9" t="s">
        <v>816</v>
      </c>
      <c r="C346" s="9" t="s">
        <v>70</v>
      </c>
      <c r="D346" s="10">
        <v>36656</v>
      </c>
      <c r="E346" s="9" t="s">
        <v>817</v>
      </c>
      <c r="F346" s="9" t="s">
        <v>72</v>
      </c>
      <c r="G346" s="9" t="str">
        <f>IF(Table1[[#This Row],[POHLAVI]]="M","Muž", "Žena")</f>
        <v>Žena</v>
      </c>
      <c r="H346" s="9">
        <v>345</v>
      </c>
      <c r="I346" s="9" t="s">
        <v>67</v>
      </c>
      <c r="J346" t="str">
        <f t="shared" si="5"/>
        <v>Nikola Vopršalová</v>
      </c>
    </row>
    <row r="347" spans="1:10" ht="14.4" x14ac:dyDescent="0.3">
      <c r="A347" s="9" t="s">
        <v>732</v>
      </c>
      <c r="B347" s="9" t="s">
        <v>818</v>
      </c>
      <c r="C347" s="9" t="s">
        <v>70</v>
      </c>
      <c r="D347" s="10">
        <v>36559</v>
      </c>
      <c r="E347" s="9" t="s">
        <v>819</v>
      </c>
      <c r="F347" s="9" t="s">
        <v>66</v>
      </c>
      <c r="G347" s="9" t="str">
        <f>IF(Table1[[#This Row],[POHLAVI]]="M","Muž", "Žena")</f>
        <v>Muž</v>
      </c>
      <c r="H347" s="9">
        <v>346</v>
      </c>
      <c r="I347" s="9" t="s">
        <v>80</v>
      </c>
      <c r="J347" t="str">
        <f t="shared" si="5"/>
        <v>Dominik Zelený</v>
      </c>
    </row>
    <row r="348" spans="1:10" ht="14.4" x14ac:dyDescent="0.3">
      <c r="A348" s="9" t="s">
        <v>186</v>
      </c>
      <c r="B348" s="9" t="s">
        <v>820</v>
      </c>
      <c r="C348" s="9" t="s">
        <v>70</v>
      </c>
      <c r="D348" s="10">
        <v>36611</v>
      </c>
      <c r="E348" s="9" t="s">
        <v>821</v>
      </c>
      <c r="F348" s="9" t="s">
        <v>72</v>
      </c>
      <c r="G348" s="9" t="str">
        <f>IF(Table1[[#This Row],[POHLAVI]]="M","Muž", "Žena")</f>
        <v>Žena</v>
      </c>
      <c r="H348" s="9">
        <v>347</v>
      </c>
      <c r="I348" s="9" t="s">
        <v>67</v>
      </c>
      <c r="J348" t="str">
        <f t="shared" si="5"/>
        <v>Kateřina Brožová</v>
      </c>
    </row>
    <row r="349" spans="1:10" ht="14.4" x14ac:dyDescent="0.3">
      <c r="A349" s="9" t="s">
        <v>822</v>
      </c>
      <c r="B349" s="9" t="s">
        <v>823</v>
      </c>
      <c r="C349" s="9" t="s">
        <v>70</v>
      </c>
      <c r="D349" s="10">
        <v>36598</v>
      </c>
      <c r="E349" s="9" t="s">
        <v>824</v>
      </c>
      <c r="F349" s="9" t="s">
        <v>66</v>
      </c>
      <c r="G349" s="9" t="str">
        <f>IF(Table1[[#This Row],[POHLAVI]]="M","Muž", "Žena")</f>
        <v>Muž</v>
      </c>
      <c r="H349" s="9">
        <v>348</v>
      </c>
      <c r="I349" s="9" t="s">
        <v>67</v>
      </c>
      <c r="J349" t="str">
        <f t="shared" si="5"/>
        <v>Leoš Edlman</v>
      </c>
    </row>
    <row r="350" spans="1:10" ht="14.4" x14ac:dyDescent="0.3">
      <c r="A350" s="9" t="s">
        <v>103</v>
      </c>
      <c r="B350" s="9" t="s">
        <v>825</v>
      </c>
      <c r="C350" s="9" t="s">
        <v>70</v>
      </c>
      <c r="D350" s="10">
        <v>36454</v>
      </c>
      <c r="E350" s="9" t="s">
        <v>826</v>
      </c>
      <c r="F350" s="9" t="s">
        <v>66</v>
      </c>
      <c r="G350" s="9" t="str">
        <f>IF(Table1[[#This Row],[POHLAVI]]="M","Muž", "Žena")</f>
        <v>Muž</v>
      </c>
      <c r="H350" s="9">
        <v>349</v>
      </c>
      <c r="I350" s="9" t="s">
        <v>67</v>
      </c>
      <c r="J350" t="str">
        <f t="shared" si="5"/>
        <v>Jakub Havlíček</v>
      </c>
    </row>
    <row r="351" spans="1:10" ht="14.4" x14ac:dyDescent="0.3">
      <c r="A351" s="9" t="s">
        <v>827</v>
      </c>
      <c r="B351" s="9" t="s">
        <v>204</v>
      </c>
      <c r="C351" s="9" t="s">
        <v>70</v>
      </c>
      <c r="D351" s="10">
        <v>36505</v>
      </c>
      <c r="E351" s="9" t="s">
        <v>828</v>
      </c>
      <c r="F351" s="9" t="s">
        <v>72</v>
      </c>
      <c r="G351" s="9" t="str">
        <f>IF(Table1[[#This Row],[POHLAVI]]="M","Muž", "Žena")</f>
        <v>Žena</v>
      </c>
      <c r="H351" s="9">
        <v>350</v>
      </c>
      <c r="I351" s="9" t="s">
        <v>67</v>
      </c>
      <c r="J351" t="str">
        <f t="shared" si="5"/>
        <v>Alena Hlaváčová</v>
      </c>
    </row>
    <row r="352" spans="1:10" ht="14.4" x14ac:dyDescent="0.3">
      <c r="A352" s="9" t="s">
        <v>145</v>
      </c>
      <c r="B352" s="9" t="s">
        <v>829</v>
      </c>
      <c r="C352" s="9" t="s">
        <v>70</v>
      </c>
      <c r="D352" s="10">
        <v>36525</v>
      </c>
      <c r="E352" s="9" t="s">
        <v>830</v>
      </c>
      <c r="F352" s="9" t="s">
        <v>66</v>
      </c>
      <c r="G352" s="9" t="str">
        <f>IF(Table1[[#This Row],[POHLAVI]]="M","Muž", "Žena")</f>
        <v>Muž</v>
      </c>
      <c r="H352" s="9">
        <v>351</v>
      </c>
      <c r="I352" s="9" t="s">
        <v>67</v>
      </c>
      <c r="J352" t="str">
        <f t="shared" si="5"/>
        <v>Pavel Horák</v>
      </c>
    </row>
    <row r="353" spans="1:10" ht="14.4" x14ac:dyDescent="0.3">
      <c r="A353" s="9" t="s">
        <v>81</v>
      </c>
      <c r="B353" s="9" t="s">
        <v>831</v>
      </c>
      <c r="C353" s="9" t="s">
        <v>70</v>
      </c>
      <c r="D353" s="10">
        <v>36376</v>
      </c>
      <c r="E353" s="9" t="s">
        <v>832</v>
      </c>
      <c r="F353" s="9" t="s">
        <v>66</v>
      </c>
      <c r="G353" s="9" t="str">
        <f>IF(Table1[[#This Row],[POHLAVI]]="M","Muž", "Žena")</f>
        <v>Muž</v>
      </c>
      <c r="H353" s="9">
        <v>352</v>
      </c>
      <c r="I353" s="9" t="s">
        <v>67</v>
      </c>
      <c r="J353" t="str">
        <f t="shared" si="5"/>
        <v>Karel Chromý</v>
      </c>
    </row>
    <row r="354" spans="1:10" ht="14.4" x14ac:dyDescent="0.3">
      <c r="A354" s="9" t="s">
        <v>833</v>
      </c>
      <c r="B354" s="9" t="s">
        <v>82</v>
      </c>
      <c r="C354" s="9" t="s">
        <v>75</v>
      </c>
      <c r="D354" s="10">
        <v>36553</v>
      </c>
      <c r="E354" s="9" t="s">
        <v>834</v>
      </c>
      <c r="F354" s="9" t="s">
        <v>72</v>
      </c>
      <c r="G354" s="9" t="str">
        <f>IF(Table1[[#This Row],[POHLAVI]]="M","Muž", "Žena")</f>
        <v>Žena</v>
      </c>
      <c r="H354" s="9">
        <v>353</v>
      </c>
      <c r="I354" s="9" t="s">
        <v>67</v>
      </c>
      <c r="J354" t="str">
        <f t="shared" si="5"/>
        <v>Ivana Janů</v>
      </c>
    </row>
    <row r="355" spans="1:10" ht="14.4" x14ac:dyDescent="0.3">
      <c r="A355" s="9" t="s">
        <v>127</v>
      </c>
      <c r="B355" s="9" t="s">
        <v>577</v>
      </c>
      <c r="C355" s="9" t="s">
        <v>70</v>
      </c>
      <c r="D355" s="10">
        <v>36747</v>
      </c>
      <c r="E355" s="9" t="s">
        <v>835</v>
      </c>
      <c r="F355" s="9" t="s">
        <v>66</v>
      </c>
      <c r="G355" s="9" t="str">
        <f>IF(Table1[[#This Row],[POHLAVI]]="M","Muž", "Žena")</f>
        <v>Muž</v>
      </c>
      <c r="H355" s="9">
        <v>354</v>
      </c>
      <c r="I355" s="9" t="s">
        <v>67</v>
      </c>
      <c r="J355" t="str">
        <f t="shared" si="5"/>
        <v>Martin Jinek</v>
      </c>
    </row>
    <row r="356" spans="1:10" ht="14.4" x14ac:dyDescent="0.3">
      <c r="A356" s="9" t="s">
        <v>97</v>
      </c>
      <c r="B356" s="9" t="s">
        <v>836</v>
      </c>
      <c r="C356" s="9" t="s">
        <v>70</v>
      </c>
      <c r="D356" s="10">
        <v>36587</v>
      </c>
      <c r="E356" s="9" t="s">
        <v>837</v>
      </c>
      <c r="F356" s="9" t="s">
        <v>72</v>
      </c>
      <c r="G356" s="9" t="str">
        <f>IF(Table1[[#This Row],[POHLAVI]]="M","Muž", "Žena")</f>
        <v>Žena</v>
      </c>
      <c r="H356" s="9">
        <v>355</v>
      </c>
      <c r="I356" s="9" t="s">
        <v>67</v>
      </c>
      <c r="J356" t="str">
        <f t="shared" si="5"/>
        <v>Michaela Jinková</v>
      </c>
    </row>
    <row r="357" spans="1:10" ht="14.4" x14ac:dyDescent="0.3">
      <c r="A357" s="9" t="s">
        <v>133</v>
      </c>
      <c r="B357" s="9" t="s">
        <v>838</v>
      </c>
      <c r="C357" s="9" t="s">
        <v>70</v>
      </c>
      <c r="D357" s="10">
        <v>36671</v>
      </c>
      <c r="E357" s="9" t="s">
        <v>839</v>
      </c>
      <c r="F357" s="9" t="s">
        <v>72</v>
      </c>
      <c r="G357" s="9" t="str">
        <f>IF(Table1[[#This Row],[POHLAVI]]="M","Muž", "Žena")</f>
        <v>Žena</v>
      </c>
      <c r="H357" s="9">
        <v>356</v>
      </c>
      <c r="I357" s="9" t="s">
        <v>67</v>
      </c>
      <c r="J357" t="str">
        <f t="shared" si="5"/>
        <v>Tereza Klimentová</v>
      </c>
    </row>
    <row r="358" spans="1:10" ht="14.4" x14ac:dyDescent="0.3">
      <c r="A358" s="9" t="s">
        <v>136</v>
      </c>
      <c r="B358" s="9" t="s">
        <v>673</v>
      </c>
      <c r="C358" s="9" t="s">
        <v>70</v>
      </c>
      <c r="D358" s="10">
        <v>36483</v>
      </c>
      <c r="E358" s="9" t="s">
        <v>840</v>
      </c>
      <c r="F358" s="9" t="s">
        <v>66</v>
      </c>
      <c r="G358" s="9" t="str">
        <f>IF(Table1[[#This Row],[POHLAVI]]="M","Muž", "Žena")</f>
        <v>Muž</v>
      </c>
      <c r="H358" s="9">
        <v>357</v>
      </c>
      <c r="I358" s="9" t="s">
        <v>67</v>
      </c>
      <c r="J358" t="str">
        <f t="shared" si="5"/>
        <v>Jan Kosař</v>
      </c>
    </row>
    <row r="359" spans="1:10" ht="14.4" x14ac:dyDescent="0.3">
      <c r="A359" s="9" t="s">
        <v>159</v>
      </c>
      <c r="B359" s="9" t="s">
        <v>434</v>
      </c>
      <c r="C359" s="9" t="s">
        <v>70</v>
      </c>
      <c r="D359" s="10">
        <v>36415</v>
      </c>
      <c r="E359" s="9" t="s">
        <v>841</v>
      </c>
      <c r="F359" s="9" t="s">
        <v>66</v>
      </c>
      <c r="G359" s="9" t="str">
        <f>IF(Table1[[#This Row],[POHLAVI]]="M","Muž", "Žena")</f>
        <v>Muž</v>
      </c>
      <c r="H359" s="9">
        <v>358</v>
      </c>
      <c r="I359" s="9" t="s">
        <v>67</v>
      </c>
      <c r="J359" t="str">
        <f t="shared" si="5"/>
        <v>Václav Král</v>
      </c>
    </row>
    <row r="360" spans="1:10" ht="14.4" x14ac:dyDescent="0.3">
      <c r="A360" s="9" t="s">
        <v>127</v>
      </c>
      <c r="B360" s="9" t="s">
        <v>237</v>
      </c>
      <c r="C360" s="9" t="s">
        <v>70</v>
      </c>
      <c r="D360" s="10">
        <v>36421</v>
      </c>
      <c r="E360" s="9" t="s">
        <v>842</v>
      </c>
      <c r="F360" s="9" t="s">
        <v>66</v>
      </c>
      <c r="G360" s="9" t="str">
        <f>IF(Table1[[#This Row],[POHLAVI]]="M","Muž", "Žena")</f>
        <v>Muž</v>
      </c>
      <c r="H360" s="9">
        <v>359</v>
      </c>
      <c r="I360" s="9" t="s">
        <v>67</v>
      </c>
      <c r="J360" t="str">
        <f t="shared" si="5"/>
        <v>Martin Kříž</v>
      </c>
    </row>
    <row r="361" spans="1:10" ht="14.4" x14ac:dyDescent="0.3">
      <c r="A361" s="9" t="s">
        <v>843</v>
      </c>
      <c r="B361" s="9" t="s">
        <v>844</v>
      </c>
      <c r="C361" s="9" t="s">
        <v>70</v>
      </c>
      <c r="D361" s="10">
        <v>36391</v>
      </c>
      <c r="E361" s="9" t="s">
        <v>845</v>
      </c>
      <c r="F361" s="9" t="s">
        <v>72</v>
      </c>
      <c r="G361" s="9" t="str">
        <f>IF(Table1[[#This Row],[POHLAVI]]="M","Muž", "Žena")</f>
        <v>Žena</v>
      </c>
      <c r="H361" s="9">
        <v>360</v>
      </c>
      <c r="I361" s="9" t="s">
        <v>91</v>
      </c>
      <c r="J361" t="str">
        <f t="shared" si="5"/>
        <v>Naděžda Kulíková</v>
      </c>
    </row>
    <row r="362" spans="1:10" ht="14.4" x14ac:dyDescent="0.3">
      <c r="A362" s="9" t="s">
        <v>318</v>
      </c>
      <c r="B362" s="9" t="s">
        <v>167</v>
      </c>
      <c r="C362" s="9" t="s">
        <v>70</v>
      </c>
      <c r="D362" s="10">
        <v>36400</v>
      </c>
      <c r="E362" s="9" t="s">
        <v>846</v>
      </c>
      <c r="F362" s="9" t="s">
        <v>72</v>
      </c>
      <c r="G362" s="9" t="str">
        <f>IF(Table1[[#This Row],[POHLAVI]]="M","Muž", "Žena")</f>
        <v>Žena</v>
      </c>
      <c r="H362" s="9">
        <v>361</v>
      </c>
      <c r="I362" s="9" t="s">
        <v>67</v>
      </c>
      <c r="J362" t="str">
        <f t="shared" si="5"/>
        <v>Hana Machová</v>
      </c>
    </row>
    <row r="363" spans="1:10" ht="14.4" x14ac:dyDescent="0.3">
      <c r="A363" s="9" t="s">
        <v>77</v>
      </c>
      <c r="B363" s="9" t="s">
        <v>847</v>
      </c>
      <c r="C363" s="9" t="s">
        <v>70</v>
      </c>
      <c r="D363" s="10">
        <v>36519</v>
      </c>
      <c r="E363" s="9" t="s">
        <v>848</v>
      </c>
      <c r="F363" s="9" t="s">
        <v>66</v>
      </c>
      <c r="G363" s="9" t="str">
        <f>IF(Table1[[#This Row],[POHLAVI]]="M","Muž", "Žena")</f>
        <v>Muž</v>
      </c>
      <c r="H363" s="9">
        <v>362</v>
      </c>
      <c r="I363" s="9" t="s">
        <v>67</v>
      </c>
      <c r="J363" t="str">
        <f t="shared" si="5"/>
        <v>Tomáš Medek</v>
      </c>
    </row>
    <row r="364" spans="1:10" ht="14.4" x14ac:dyDescent="0.3">
      <c r="A364" s="9" t="s">
        <v>849</v>
      </c>
      <c r="B364" s="9" t="s">
        <v>520</v>
      </c>
      <c r="C364" s="9" t="s">
        <v>70</v>
      </c>
      <c r="D364" s="10">
        <v>36376</v>
      </c>
      <c r="E364" s="9" t="s">
        <v>850</v>
      </c>
      <c r="F364" s="9" t="s">
        <v>72</v>
      </c>
      <c r="G364" s="9" t="str">
        <f>IF(Table1[[#This Row],[POHLAVI]]="M","Muž", "Žena")</f>
        <v>Žena</v>
      </c>
      <c r="H364" s="9">
        <v>363</v>
      </c>
      <c r="I364" s="9" t="s">
        <v>67</v>
      </c>
      <c r="J364" t="str">
        <f t="shared" si="5"/>
        <v>Markéta Novotná</v>
      </c>
    </row>
    <row r="365" spans="1:10" ht="14.4" x14ac:dyDescent="0.3">
      <c r="A365" s="9" t="s">
        <v>94</v>
      </c>
      <c r="B365" s="9" t="s">
        <v>851</v>
      </c>
      <c r="C365" s="9" t="s">
        <v>70</v>
      </c>
      <c r="D365" s="10">
        <v>36391</v>
      </c>
      <c r="E365" s="9" t="s">
        <v>852</v>
      </c>
      <c r="F365" s="9" t="s">
        <v>66</v>
      </c>
      <c r="G365" s="9" t="str">
        <f>IF(Table1[[#This Row],[POHLAVI]]="M","Muž", "Žena")</f>
        <v>Muž</v>
      </c>
      <c r="H365" s="9">
        <v>364</v>
      </c>
      <c r="I365" s="9" t="s">
        <v>67</v>
      </c>
      <c r="J365" t="str">
        <f t="shared" si="5"/>
        <v>Lukáš Polášek</v>
      </c>
    </row>
    <row r="366" spans="1:10" ht="14.4" x14ac:dyDescent="0.3">
      <c r="A366" s="9" t="s">
        <v>111</v>
      </c>
      <c r="B366" s="9" t="s">
        <v>853</v>
      </c>
      <c r="C366" s="9" t="s">
        <v>70</v>
      </c>
      <c r="D366" s="10">
        <v>36349</v>
      </c>
      <c r="E366" s="9" t="s">
        <v>854</v>
      </c>
      <c r="F366" s="9" t="s">
        <v>66</v>
      </c>
      <c r="G366" s="9" t="str">
        <f>IF(Table1[[#This Row],[POHLAVI]]="M","Muž", "Žena")</f>
        <v>Muž</v>
      </c>
      <c r="H366" s="9">
        <v>365</v>
      </c>
      <c r="I366" s="9" t="s">
        <v>67</v>
      </c>
      <c r="J366" t="str">
        <f t="shared" si="5"/>
        <v>Adam Procházka</v>
      </c>
    </row>
    <row r="367" spans="1:10" ht="14.4" x14ac:dyDescent="0.3">
      <c r="A367" s="9" t="s">
        <v>139</v>
      </c>
      <c r="B367" s="9" t="s">
        <v>855</v>
      </c>
      <c r="C367" s="9" t="s">
        <v>70</v>
      </c>
      <c r="D367" s="10">
        <v>36464</v>
      </c>
      <c r="E367" s="9" t="s">
        <v>856</v>
      </c>
      <c r="F367" s="9" t="s">
        <v>66</v>
      </c>
      <c r="G367" s="9" t="str">
        <f>IF(Table1[[#This Row],[POHLAVI]]="M","Muž", "Žena")</f>
        <v>Muž</v>
      </c>
      <c r="H367" s="9">
        <v>366</v>
      </c>
      <c r="I367" s="9" t="s">
        <v>67</v>
      </c>
      <c r="J367" t="str">
        <f t="shared" si="5"/>
        <v>Josef Skalník</v>
      </c>
    </row>
    <row r="368" spans="1:10" ht="14.4" x14ac:dyDescent="0.3">
      <c r="A368" s="9" t="s">
        <v>857</v>
      </c>
      <c r="B368" s="9" t="s">
        <v>181</v>
      </c>
      <c r="C368" s="9" t="s">
        <v>70</v>
      </c>
      <c r="D368" s="10">
        <v>36343</v>
      </c>
      <c r="E368" s="9" t="s">
        <v>858</v>
      </c>
      <c r="F368" s="9" t="s">
        <v>66</v>
      </c>
      <c r="G368" s="9" t="str">
        <f>IF(Table1[[#This Row],[POHLAVI]]="M","Muž", "Žena")</f>
        <v>Muž</v>
      </c>
      <c r="H368" s="9">
        <v>367</v>
      </c>
      <c r="I368" s="9" t="s">
        <v>117</v>
      </c>
      <c r="J368" t="str">
        <f t="shared" si="5"/>
        <v>Hynek Sláma</v>
      </c>
    </row>
    <row r="369" spans="1:10" ht="14.4" x14ac:dyDescent="0.3">
      <c r="A369" s="9" t="s">
        <v>744</v>
      </c>
      <c r="B369" s="9" t="s">
        <v>859</v>
      </c>
      <c r="C369" s="9" t="s">
        <v>70</v>
      </c>
      <c r="D369" s="10">
        <v>36477</v>
      </c>
      <c r="E369" s="9" t="s">
        <v>860</v>
      </c>
      <c r="F369" s="9" t="s">
        <v>72</v>
      </c>
      <c r="G369" s="9" t="str">
        <f>IF(Table1[[#This Row],[POHLAVI]]="M","Muž", "Žena")</f>
        <v>Žena</v>
      </c>
      <c r="H369" s="9">
        <v>368</v>
      </c>
      <c r="I369" s="9" t="s">
        <v>67</v>
      </c>
      <c r="J369" t="str">
        <f t="shared" si="5"/>
        <v>Bohdana Sotonová</v>
      </c>
    </row>
    <row r="370" spans="1:10" ht="14.4" x14ac:dyDescent="0.3">
      <c r="A370" s="9" t="s">
        <v>136</v>
      </c>
      <c r="B370" s="9" t="s">
        <v>600</v>
      </c>
      <c r="C370" s="9" t="s">
        <v>637</v>
      </c>
      <c r="D370" s="10">
        <v>36767</v>
      </c>
      <c r="E370" s="9" t="s">
        <v>861</v>
      </c>
      <c r="F370" s="9" t="s">
        <v>66</v>
      </c>
      <c r="G370" s="9" t="str">
        <f>IF(Table1[[#This Row],[POHLAVI]]="M","Muž", "Žena")</f>
        <v>Muž</v>
      </c>
      <c r="H370" s="9">
        <v>369</v>
      </c>
      <c r="I370" s="9" t="s">
        <v>67</v>
      </c>
      <c r="J370" t="str">
        <f t="shared" si="5"/>
        <v>Jan Svoboda</v>
      </c>
    </row>
    <row r="371" spans="1:10" ht="14.4" x14ac:dyDescent="0.3">
      <c r="A371" s="9" t="s">
        <v>151</v>
      </c>
      <c r="B371" s="9" t="s">
        <v>600</v>
      </c>
      <c r="C371" s="9" t="s">
        <v>70</v>
      </c>
      <c r="D371" s="10">
        <v>36431</v>
      </c>
      <c r="E371" s="9" t="s">
        <v>862</v>
      </c>
      <c r="F371" s="9" t="s">
        <v>66</v>
      </c>
      <c r="G371" s="9" t="str">
        <f>IF(Table1[[#This Row],[POHLAVI]]="M","Muž", "Žena")</f>
        <v>Muž</v>
      </c>
      <c r="H371" s="9">
        <v>370</v>
      </c>
      <c r="I371" s="9" t="s">
        <v>67</v>
      </c>
      <c r="J371" t="str">
        <f t="shared" si="5"/>
        <v>Petr Svoboda</v>
      </c>
    </row>
    <row r="372" spans="1:10" ht="14.4" x14ac:dyDescent="0.3">
      <c r="A372" s="9" t="s">
        <v>311</v>
      </c>
      <c r="B372" s="9" t="s">
        <v>863</v>
      </c>
      <c r="C372" s="9" t="s">
        <v>70</v>
      </c>
      <c r="D372" s="10">
        <v>36368</v>
      </c>
      <c r="E372" s="9" t="s">
        <v>864</v>
      </c>
      <c r="F372" s="9" t="s">
        <v>72</v>
      </c>
      <c r="G372" s="9" t="str">
        <f>IF(Table1[[#This Row],[POHLAVI]]="M","Muž", "Žena")</f>
        <v>Žena</v>
      </c>
      <c r="H372" s="9">
        <v>371</v>
      </c>
      <c r="I372" s="9" t="s">
        <v>67</v>
      </c>
      <c r="J372" t="str">
        <f t="shared" si="5"/>
        <v>Nikola Záluská</v>
      </c>
    </row>
    <row r="373" spans="1:10" ht="14.4" x14ac:dyDescent="0.3">
      <c r="A373" s="9" t="s">
        <v>865</v>
      </c>
      <c r="B373" s="9" t="s">
        <v>863</v>
      </c>
      <c r="C373" s="9" t="s">
        <v>70</v>
      </c>
      <c r="D373" s="10">
        <v>36547</v>
      </c>
      <c r="E373" s="9" t="s">
        <v>866</v>
      </c>
      <c r="F373" s="9" t="s">
        <v>72</v>
      </c>
      <c r="G373" s="9" t="str">
        <f>IF(Table1[[#This Row],[POHLAVI]]="M","Muž", "Žena")</f>
        <v>Žena</v>
      </c>
      <c r="H373" s="9">
        <v>372</v>
      </c>
      <c r="I373" s="9" t="s">
        <v>67</v>
      </c>
      <c r="J373" t="str">
        <f t="shared" si="5"/>
        <v>Renata Záluská</v>
      </c>
    </row>
    <row r="374" spans="1:10" ht="14.4" x14ac:dyDescent="0.3">
      <c r="A374" s="9" t="s">
        <v>136</v>
      </c>
      <c r="B374" s="9" t="s">
        <v>867</v>
      </c>
      <c r="C374" s="9" t="s">
        <v>70</v>
      </c>
      <c r="D374" s="10">
        <v>36401</v>
      </c>
      <c r="E374" s="9" t="s">
        <v>868</v>
      </c>
      <c r="F374" s="9" t="s">
        <v>66</v>
      </c>
      <c r="G374" s="9" t="str">
        <f>IF(Table1[[#This Row],[POHLAVI]]="M","Muž", "Žena")</f>
        <v>Muž</v>
      </c>
      <c r="H374" s="9">
        <v>373</v>
      </c>
      <c r="I374" s="9" t="s">
        <v>67</v>
      </c>
      <c r="J374" t="str">
        <f t="shared" si="5"/>
        <v>Jan Bonaventura</v>
      </c>
    </row>
    <row r="375" spans="1:10" ht="14.4" x14ac:dyDescent="0.3">
      <c r="A375" s="9" t="s">
        <v>579</v>
      </c>
      <c r="B375" s="9" t="s">
        <v>335</v>
      </c>
      <c r="C375" s="9" t="s">
        <v>70</v>
      </c>
      <c r="D375" s="10">
        <v>36617</v>
      </c>
      <c r="E375" s="9" t="s">
        <v>869</v>
      </c>
      <c r="F375" s="9" t="s">
        <v>66</v>
      </c>
      <c r="G375" s="9" t="str">
        <f>IF(Table1[[#This Row],[POHLAVI]]="M","Muž", "Žena")</f>
        <v>Muž</v>
      </c>
      <c r="H375" s="9">
        <v>374</v>
      </c>
      <c r="I375" s="9" t="s">
        <v>67</v>
      </c>
      <c r="J375" t="str">
        <f t="shared" si="5"/>
        <v>František Bukáček</v>
      </c>
    </row>
    <row r="376" spans="1:10" ht="14.4" x14ac:dyDescent="0.3">
      <c r="A376" s="9" t="s">
        <v>870</v>
      </c>
      <c r="B376" s="9" t="s">
        <v>871</v>
      </c>
      <c r="C376" s="9" t="s">
        <v>70</v>
      </c>
      <c r="D376" s="10">
        <v>36552</v>
      </c>
      <c r="E376" s="9" t="s">
        <v>872</v>
      </c>
      <c r="F376" s="9" t="s">
        <v>72</v>
      </c>
      <c r="G376" s="9" t="str">
        <f>IF(Table1[[#This Row],[POHLAVI]]="M","Muž", "Žena")</f>
        <v>Žena</v>
      </c>
      <c r="H376" s="9">
        <v>375</v>
      </c>
      <c r="I376" s="9" t="s">
        <v>80</v>
      </c>
      <c r="J376" t="str">
        <f t="shared" si="5"/>
        <v>Lenka Bukáčková</v>
      </c>
    </row>
    <row r="377" spans="1:10" ht="14.4" x14ac:dyDescent="0.3">
      <c r="A377" s="9" t="s">
        <v>127</v>
      </c>
      <c r="B377" s="9" t="s">
        <v>63</v>
      </c>
      <c r="C377" s="9" t="s">
        <v>70</v>
      </c>
      <c r="D377" s="10">
        <v>36118</v>
      </c>
      <c r="E377" s="9" t="s">
        <v>873</v>
      </c>
      <c r="F377" s="9" t="s">
        <v>66</v>
      </c>
      <c r="G377" s="9" t="str">
        <f>IF(Table1[[#This Row],[POHLAVI]]="M","Muž", "Žena")</f>
        <v>Muž</v>
      </c>
      <c r="H377" s="9">
        <v>376</v>
      </c>
      <c r="I377" s="9" t="s">
        <v>67</v>
      </c>
      <c r="J377" t="str">
        <f t="shared" si="5"/>
        <v>Martin Dufek</v>
      </c>
    </row>
    <row r="378" spans="1:10" ht="14.4" x14ac:dyDescent="0.3">
      <c r="A378" s="9" t="s">
        <v>874</v>
      </c>
      <c r="B378" s="9" t="s">
        <v>343</v>
      </c>
      <c r="C378" s="9" t="s">
        <v>70</v>
      </c>
      <c r="D378" s="10">
        <v>36466</v>
      </c>
      <c r="E378" s="9" t="s">
        <v>875</v>
      </c>
      <c r="F378" s="9" t="s">
        <v>72</v>
      </c>
      <c r="G378" s="9" t="str">
        <f>IF(Table1[[#This Row],[POHLAVI]]="M","Muž", "Žena")</f>
        <v>Žena</v>
      </c>
      <c r="H378" s="9">
        <v>377</v>
      </c>
      <c r="I378" s="9" t="s">
        <v>67</v>
      </c>
      <c r="J378" t="str">
        <f t="shared" si="5"/>
        <v>Soňa Dvořáková</v>
      </c>
    </row>
    <row r="379" spans="1:10" ht="14.4" x14ac:dyDescent="0.3">
      <c r="A379" s="9" t="s">
        <v>114</v>
      </c>
      <c r="B379" s="9" t="s">
        <v>876</v>
      </c>
      <c r="C379" s="9" t="s">
        <v>70</v>
      </c>
      <c r="D379" s="10">
        <v>36503</v>
      </c>
      <c r="E379" s="9" t="s">
        <v>877</v>
      </c>
      <c r="F379" s="9" t="s">
        <v>66</v>
      </c>
      <c r="G379" s="9" t="str">
        <f>IF(Table1[[#This Row],[POHLAVI]]="M","Muž", "Žena")</f>
        <v>Muž</v>
      </c>
      <c r="H379" s="9">
        <v>378</v>
      </c>
      <c r="I379" s="9" t="s">
        <v>67</v>
      </c>
      <c r="J379" t="str">
        <f t="shared" si="5"/>
        <v>David Gregor</v>
      </c>
    </row>
    <row r="380" spans="1:10" ht="14.4" x14ac:dyDescent="0.3">
      <c r="A380" s="9" t="s">
        <v>133</v>
      </c>
      <c r="B380" s="9" t="s">
        <v>620</v>
      </c>
      <c r="C380" s="9" t="s">
        <v>70</v>
      </c>
      <c r="D380" s="10">
        <v>36381</v>
      </c>
      <c r="E380" s="9" t="s">
        <v>878</v>
      </c>
      <c r="F380" s="9" t="s">
        <v>72</v>
      </c>
      <c r="G380" s="9" t="str">
        <f>IF(Table1[[#This Row],[POHLAVI]]="M","Muž", "Žena")</f>
        <v>Žena</v>
      </c>
      <c r="H380" s="9">
        <v>379</v>
      </c>
      <c r="I380" s="9" t="s">
        <v>67</v>
      </c>
      <c r="J380" t="str">
        <f t="shared" si="5"/>
        <v>Tereza Havelková</v>
      </c>
    </row>
    <row r="381" spans="1:10" ht="14.4" x14ac:dyDescent="0.3">
      <c r="A381" s="9" t="s">
        <v>77</v>
      </c>
      <c r="B381" s="9" t="s">
        <v>219</v>
      </c>
      <c r="C381" s="9" t="s">
        <v>807</v>
      </c>
      <c r="D381" s="10">
        <v>36671</v>
      </c>
      <c r="E381" s="9" t="s">
        <v>879</v>
      </c>
      <c r="F381" s="9" t="s">
        <v>66</v>
      </c>
      <c r="G381" s="9" t="str">
        <f>IF(Table1[[#This Row],[POHLAVI]]="M","Muž", "Žena")</f>
        <v>Muž</v>
      </c>
      <c r="H381" s="9">
        <v>380</v>
      </c>
      <c r="I381" s="9" t="s">
        <v>67</v>
      </c>
      <c r="J381" t="str">
        <f t="shared" si="5"/>
        <v>Tomáš Havlík</v>
      </c>
    </row>
    <row r="382" spans="1:10" ht="14.4" x14ac:dyDescent="0.3">
      <c r="A382" s="9" t="s">
        <v>493</v>
      </c>
      <c r="B382" s="9" t="s">
        <v>284</v>
      </c>
      <c r="C382" s="9" t="s">
        <v>70</v>
      </c>
      <c r="D382" s="10">
        <v>36743</v>
      </c>
      <c r="E382" s="9" t="s">
        <v>880</v>
      </c>
      <c r="F382" s="9" t="s">
        <v>72</v>
      </c>
      <c r="G382" s="9" t="str">
        <f>IF(Table1[[#This Row],[POHLAVI]]="M","Muž", "Žena")</f>
        <v>Žena</v>
      </c>
      <c r="H382" s="9">
        <v>381</v>
      </c>
      <c r="I382" s="9" t="s">
        <v>67</v>
      </c>
      <c r="J382" t="str">
        <f t="shared" si="5"/>
        <v>Daniela Horváthová</v>
      </c>
    </row>
    <row r="383" spans="1:10" ht="14.4" x14ac:dyDescent="0.3">
      <c r="A383" s="9" t="s">
        <v>364</v>
      </c>
      <c r="B383" s="9" t="s">
        <v>881</v>
      </c>
      <c r="C383" s="9" t="s">
        <v>70</v>
      </c>
      <c r="D383" s="10">
        <v>36616</v>
      </c>
      <c r="E383" s="9" t="s">
        <v>882</v>
      </c>
      <c r="F383" s="9" t="s">
        <v>72</v>
      </c>
      <c r="G383" s="9" t="str">
        <f>IF(Table1[[#This Row],[POHLAVI]]="M","Muž", "Žena")</f>
        <v>Žena</v>
      </c>
      <c r="H383" s="9">
        <v>382</v>
      </c>
      <c r="I383" s="9" t="s">
        <v>67</v>
      </c>
      <c r="J383" t="str">
        <f t="shared" si="5"/>
        <v>Simona Hudečková</v>
      </c>
    </row>
    <row r="384" spans="1:10" ht="14.4" x14ac:dyDescent="0.3">
      <c r="A384" s="9" t="s">
        <v>883</v>
      </c>
      <c r="B384" s="9" t="s">
        <v>884</v>
      </c>
      <c r="C384" s="9" t="s">
        <v>70</v>
      </c>
      <c r="D384" s="10">
        <v>36646</v>
      </c>
      <c r="E384" s="9" t="s">
        <v>885</v>
      </c>
      <c r="F384" s="9" t="s">
        <v>66</v>
      </c>
      <c r="G384" s="9" t="str">
        <f>IF(Table1[[#This Row],[POHLAVI]]="M","Muž", "Žena")</f>
        <v>Muž</v>
      </c>
      <c r="H384" s="9">
        <v>383</v>
      </c>
      <c r="I384" s="9" t="s">
        <v>67</v>
      </c>
      <c r="J384" t="str">
        <f t="shared" si="5"/>
        <v>Rudolf Koláček</v>
      </c>
    </row>
    <row r="385" spans="1:10" ht="14.4" x14ac:dyDescent="0.3">
      <c r="A385" s="9" t="s">
        <v>151</v>
      </c>
      <c r="B385" s="9" t="s">
        <v>237</v>
      </c>
      <c r="C385" s="9" t="s">
        <v>70</v>
      </c>
      <c r="D385" s="10">
        <v>36654</v>
      </c>
      <c r="E385" s="9" t="s">
        <v>886</v>
      </c>
      <c r="F385" s="9" t="s">
        <v>66</v>
      </c>
      <c r="G385" s="9" t="str">
        <f>IF(Table1[[#This Row],[POHLAVI]]="M","Muž", "Žena")</f>
        <v>Muž</v>
      </c>
      <c r="H385" s="9">
        <v>384</v>
      </c>
      <c r="I385" s="9" t="s">
        <v>67</v>
      </c>
      <c r="J385" t="str">
        <f t="shared" si="5"/>
        <v>Petr Kříž</v>
      </c>
    </row>
    <row r="386" spans="1:10" ht="14.4" x14ac:dyDescent="0.3">
      <c r="A386" s="9" t="s">
        <v>94</v>
      </c>
      <c r="B386" s="9" t="s">
        <v>795</v>
      </c>
      <c r="C386" s="9" t="s">
        <v>75</v>
      </c>
      <c r="D386" s="10">
        <v>36718</v>
      </c>
      <c r="E386" s="9" t="s">
        <v>887</v>
      </c>
      <c r="F386" s="9" t="s">
        <v>66</v>
      </c>
      <c r="G386" s="9" t="str">
        <f>IF(Table1[[#This Row],[POHLAVI]]="M","Muž", "Žena")</f>
        <v>Muž</v>
      </c>
      <c r="H386" s="9">
        <v>385</v>
      </c>
      <c r="I386" s="9" t="s">
        <v>67</v>
      </c>
      <c r="J386" t="str">
        <f t="shared" si="5"/>
        <v>Lukáš Kubík</v>
      </c>
    </row>
    <row r="387" spans="1:10" ht="14.4" x14ac:dyDescent="0.3">
      <c r="A387" s="9" t="s">
        <v>86</v>
      </c>
      <c r="B387" s="9" t="s">
        <v>298</v>
      </c>
      <c r="C387" s="9" t="s">
        <v>75</v>
      </c>
      <c r="D387" s="10">
        <v>36704</v>
      </c>
      <c r="E387" s="9" t="s">
        <v>888</v>
      </c>
      <c r="F387" s="9" t="s">
        <v>66</v>
      </c>
      <c r="G387" s="9" t="str">
        <f>IF(Table1[[#This Row],[POHLAVI]]="M","Muž", "Žena")</f>
        <v>Muž</v>
      </c>
      <c r="H387" s="9">
        <v>386</v>
      </c>
      <c r="I387" s="9" t="s">
        <v>67</v>
      </c>
      <c r="J387" t="str">
        <f t="shared" ref="J387:J450" si="6">_xlfn.TEXTJOIN(" ",1,$A387:$B387)</f>
        <v>Matěj Kutra</v>
      </c>
    </row>
    <row r="388" spans="1:10" ht="14.4" x14ac:dyDescent="0.3">
      <c r="A388" s="9" t="s">
        <v>849</v>
      </c>
      <c r="B388" s="9" t="s">
        <v>462</v>
      </c>
      <c r="C388" s="9" t="s">
        <v>70</v>
      </c>
      <c r="D388" s="10">
        <v>36670</v>
      </c>
      <c r="E388" s="9" t="s">
        <v>889</v>
      </c>
      <c r="F388" s="9" t="s">
        <v>72</v>
      </c>
      <c r="G388" s="9" t="str">
        <f>IF(Table1[[#This Row],[POHLAVI]]="M","Muž", "Žena")</f>
        <v>Žena</v>
      </c>
      <c r="H388" s="9">
        <v>387</v>
      </c>
      <c r="I388" s="9" t="s">
        <v>67</v>
      </c>
      <c r="J388" t="str">
        <f t="shared" si="6"/>
        <v>Markéta Librová</v>
      </c>
    </row>
    <row r="389" spans="1:10" ht="14.4" x14ac:dyDescent="0.3">
      <c r="A389" s="9" t="s">
        <v>339</v>
      </c>
      <c r="B389" s="9" t="s">
        <v>890</v>
      </c>
      <c r="C389" s="9" t="s">
        <v>70</v>
      </c>
      <c r="D389" s="10">
        <v>36626</v>
      </c>
      <c r="E389" s="9" t="s">
        <v>891</v>
      </c>
      <c r="F389" s="9" t="s">
        <v>72</v>
      </c>
      <c r="G389" s="9" t="str">
        <f>IF(Table1[[#This Row],[POHLAVI]]="M","Muž", "Žena")</f>
        <v>Žena</v>
      </c>
      <c r="H389" s="9">
        <v>388</v>
      </c>
      <c r="I389" s="9" t="s">
        <v>67</v>
      </c>
      <c r="J389" t="str">
        <f t="shared" si="6"/>
        <v>Vendula Nečasová</v>
      </c>
    </row>
    <row r="390" spans="1:10" ht="14.4" x14ac:dyDescent="0.3">
      <c r="A390" s="9" t="s">
        <v>106</v>
      </c>
      <c r="B390" s="9" t="s">
        <v>892</v>
      </c>
      <c r="C390" s="9" t="s">
        <v>70</v>
      </c>
      <c r="D390" s="10">
        <v>36506</v>
      </c>
      <c r="E390" s="9" t="s">
        <v>893</v>
      </c>
      <c r="F390" s="9" t="s">
        <v>66</v>
      </c>
      <c r="G390" s="9" t="str">
        <f>IF(Table1[[#This Row],[POHLAVI]]="M","Muž", "Žena")</f>
        <v>Muž</v>
      </c>
      <c r="H390" s="9">
        <v>389</v>
      </c>
      <c r="I390" s="9" t="s">
        <v>67</v>
      </c>
      <c r="J390" t="str">
        <f t="shared" si="6"/>
        <v>Vojtěch Německý</v>
      </c>
    </row>
    <row r="391" spans="1:10" ht="14.4" x14ac:dyDescent="0.3">
      <c r="A391" s="9" t="s">
        <v>414</v>
      </c>
      <c r="B391" s="9" t="s">
        <v>894</v>
      </c>
      <c r="C391" s="9" t="s">
        <v>70</v>
      </c>
      <c r="D391" s="10">
        <v>36717</v>
      </c>
      <c r="E391" s="9" t="s">
        <v>895</v>
      </c>
      <c r="F391" s="9" t="s">
        <v>72</v>
      </c>
      <c r="G391" s="9" t="str">
        <f>IF(Table1[[#This Row],[POHLAVI]]="M","Muž", "Žena")</f>
        <v>Žena</v>
      </c>
      <c r="H391" s="9">
        <v>390</v>
      </c>
      <c r="I391" s="9" t="s">
        <v>91</v>
      </c>
      <c r="J391" t="str">
        <f t="shared" si="6"/>
        <v>Martina Odehnalová</v>
      </c>
    </row>
    <row r="392" spans="1:10" ht="14.4" x14ac:dyDescent="0.3">
      <c r="A392" s="9" t="s">
        <v>136</v>
      </c>
      <c r="B392" s="9" t="s">
        <v>422</v>
      </c>
      <c r="C392" s="9" t="s">
        <v>70</v>
      </c>
      <c r="D392" s="10">
        <v>36732</v>
      </c>
      <c r="E392" s="9" t="s">
        <v>896</v>
      </c>
      <c r="F392" s="9" t="s">
        <v>66</v>
      </c>
      <c r="G392" s="9" t="str">
        <f>IF(Table1[[#This Row],[POHLAVI]]="M","Muž", "Žena")</f>
        <v>Muž</v>
      </c>
      <c r="H392" s="9">
        <v>391</v>
      </c>
      <c r="I392" s="9" t="s">
        <v>67</v>
      </c>
      <c r="J392" t="str">
        <f t="shared" si="6"/>
        <v>Jan Poul</v>
      </c>
    </row>
    <row r="393" spans="1:10" ht="14.4" x14ac:dyDescent="0.3">
      <c r="A393" s="9" t="s">
        <v>870</v>
      </c>
      <c r="B393" s="9" t="s">
        <v>897</v>
      </c>
      <c r="C393" s="9" t="s">
        <v>70</v>
      </c>
      <c r="D393" s="10">
        <v>36406</v>
      </c>
      <c r="E393" s="9" t="s">
        <v>898</v>
      </c>
      <c r="F393" s="9" t="s">
        <v>72</v>
      </c>
      <c r="G393" s="9" t="str">
        <f>IF(Table1[[#This Row],[POHLAVI]]="M","Muž", "Žena")</f>
        <v>Žena</v>
      </c>
      <c r="H393" s="9">
        <v>392</v>
      </c>
      <c r="I393" s="9" t="s">
        <v>67</v>
      </c>
      <c r="J393" t="str">
        <f t="shared" si="6"/>
        <v>Lenka Sobotková</v>
      </c>
    </row>
    <row r="394" spans="1:10" ht="14.4" x14ac:dyDescent="0.3">
      <c r="A394" s="9" t="s">
        <v>145</v>
      </c>
      <c r="B394" s="9" t="s">
        <v>600</v>
      </c>
      <c r="C394" s="9" t="s">
        <v>70</v>
      </c>
      <c r="D394" s="10">
        <v>36630</v>
      </c>
      <c r="E394" s="9" t="s">
        <v>899</v>
      </c>
      <c r="F394" s="9" t="s">
        <v>66</v>
      </c>
      <c r="G394" s="9" t="str">
        <f>IF(Table1[[#This Row],[POHLAVI]]="M","Muž", "Žena")</f>
        <v>Muž</v>
      </c>
      <c r="H394" s="9">
        <v>393</v>
      </c>
      <c r="I394" s="9" t="s">
        <v>67</v>
      </c>
      <c r="J394" t="str">
        <f t="shared" si="6"/>
        <v>Pavel Svoboda</v>
      </c>
    </row>
    <row r="395" spans="1:10" ht="14.4" x14ac:dyDescent="0.3">
      <c r="A395" s="9" t="s">
        <v>318</v>
      </c>
      <c r="B395" s="9" t="s">
        <v>900</v>
      </c>
      <c r="C395" s="9" t="s">
        <v>70</v>
      </c>
      <c r="D395" s="10">
        <v>36640</v>
      </c>
      <c r="E395" s="9" t="s">
        <v>901</v>
      </c>
      <c r="F395" s="9" t="s">
        <v>72</v>
      </c>
      <c r="G395" s="9" t="str">
        <f>IF(Table1[[#This Row],[POHLAVI]]="M","Muž", "Žena")</f>
        <v>Žena</v>
      </c>
      <c r="H395" s="9">
        <v>394</v>
      </c>
      <c r="I395" s="9" t="s">
        <v>67</v>
      </c>
      <c r="J395" t="str">
        <f t="shared" si="6"/>
        <v>Hana Šanderová</v>
      </c>
    </row>
    <row r="396" spans="1:10" ht="14.4" x14ac:dyDescent="0.3">
      <c r="A396" s="9" t="s">
        <v>77</v>
      </c>
      <c r="B396" s="9" t="s">
        <v>191</v>
      </c>
      <c r="C396" s="9" t="s">
        <v>70</v>
      </c>
      <c r="D396" s="10">
        <v>36661</v>
      </c>
      <c r="E396" s="9" t="s">
        <v>902</v>
      </c>
      <c r="F396" s="9" t="s">
        <v>66</v>
      </c>
      <c r="G396" s="9" t="str">
        <f>IF(Table1[[#This Row],[POHLAVI]]="M","Muž", "Žena")</f>
        <v>Muž</v>
      </c>
      <c r="H396" s="9">
        <v>395</v>
      </c>
      <c r="I396" s="9" t="s">
        <v>117</v>
      </c>
      <c r="J396" t="str">
        <f t="shared" si="6"/>
        <v>Tomáš Šolc</v>
      </c>
    </row>
    <row r="397" spans="1:10" ht="14.4" x14ac:dyDescent="0.3">
      <c r="A397" s="9" t="s">
        <v>84</v>
      </c>
      <c r="B397" s="9" t="s">
        <v>605</v>
      </c>
      <c r="C397" s="9" t="s">
        <v>75</v>
      </c>
      <c r="D397" s="10">
        <v>36703</v>
      </c>
      <c r="E397" s="9" t="s">
        <v>903</v>
      </c>
      <c r="F397" s="9" t="s">
        <v>66</v>
      </c>
      <c r="G397" s="9" t="str">
        <f>IF(Table1[[#This Row],[POHLAVI]]="M","Muž", "Žena")</f>
        <v>Muž</v>
      </c>
      <c r="H397" s="9">
        <v>396</v>
      </c>
      <c r="I397" s="9" t="s">
        <v>67</v>
      </c>
      <c r="J397" t="str">
        <f t="shared" si="6"/>
        <v>Zdeněk Tulis</v>
      </c>
    </row>
    <row r="398" spans="1:10" ht="14.4" x14ac:dyDescent="0.3">
      <c r="A398" s="9" t="s">
        <v>145</v>
      </c>
      <c r="B398" s="9" t="s">
        <v>384</v>
      </c>
      <c r="C398" s="9" t="s">
        <v>70</v>
      </c>
      <c r="D398" s="10">
        <v>36564</v>
      </c>
      <c r="E398" s="9" t="s">
        <v>904</v>
      </c>
      <c r="F398" s="9" t="s">
        <v>66</v>
      </c>
      <c r="G398" s="9" t="str">
        <f>IF(Table1[[#This Row],[POHLAVI]]="M","Muž", "Žena")</f>
        <v>Muž</v>
      </c>
      <c r="H398" s="9">
        <v>397</v>
      </c>
      <c r="I398" s="9" t="s">
        <v>67</v>
      </c>
      <c r="J398" t="str">
        <f t="shared" si="6"/>
        <v>Pavel Žák</v>
      </c>
    </row>
    <row r="399" spans="1:10" ht="14.4" x14ac:dyDescent="0.3">
      <c r="A399" s="9" t="s">
        <v>133</v>
      </c>
      <c r="B399" s="9" t="s">
        <v>201</v>
      </c>
      <c r="C399" s="9" t="s">
        <v>64</v>
      </c>
      <c r="D399" s="10">
        <v>36447</v>
      </c>
      <c r="E399" s="9" t="s">
        <v>905</v>
      </c>
      <c r="F399" s="9" t="s">
        <v>72</v>
      </c>
      <c r="G399" s="9" t="str">
        <f>IF(Table1[[#This Row],[POHLAVI]]="M","Muž", "Žena")</f>
        <v>Žena</v>
      </c>
      <c r="H399" s="9">
        <v>398</v>
      </c>
      <c r="I399" s="9" t="s">
        <v>80</v>
      </c>
      <c r="J399" t="str">
        <f t="shared" si="6"/>
        <v>Tereza Benešová</v>
      </c>
    </row>
    <row r="400" spans="1:10" ht="14.4" x14ac:dyDescent="0.3">
      <c r="A400" s="9" t="s">
        <v>381</v>
      </c>
      <c r="B400" s="9" t="s">
        <v>906</v>
      </c>
      <c r="C400" s="9" t="s">
        <v>70</v>
      </c>
      <c r="D400" s="10">
        <v>36535</v>
      </c>
      <c r="E400" s="9" t="s">
        <v>907</v>
      </c>
      <c r="F400" s="9" t="s">
        <v>72</v>
      </c>
      <c r="G400" s="9" t="str">
        <f>IF(Table1[[#This Row],[POHLAVI]]="M","Muž", "Žena")</f>
        <v>Žena</v>
      </c>
      <c r="H400" s="9">
        <v>399</v>
      </c>
      <c r="I400" s="9" t="s">
        <v>67</v>
      </c>
      <c r="J400" t="str">
        <f t="shared" si="6"/>
        <v>Dominika Fenclová</v>
      </c>
    </row>
    <row r="401" spans="1:10" ht="14.4" x14ac:dyDescent="0.3">
      <c r="A401" s="9" t="s">
        <v>582</v>
      </c>
      <c r="B401" s="9" t="s">
        <v>908</v>
      </c>
      <c r="C401" s="9" t="s">
        <v>70</v>
      </c>
      <c r="D401" s="10">
        <v>36425</v>
      </c>
      <c r="E401" s="9" t="s">
        <v>909</v>
      </c>
      <c r="F401" s="9" t="s">
        <v>72</v>
      </c>
      <c r="G401" s="9" t="str">
        <f>IF(Table1[[#This Row],[POHLAVI]]="M","Muž", "Žena")</f>
        <v>Žena</v>
      </c>
      <c r="H401" s="9">
        <v>400</v>
      </c>
      <c r="I401" s="9" t="s">
        <v>67</v>
      </c>
      <c r="J401" t="str">
        <f t="shared" si="6"/>
        <v>Iveta Hanychová</v>
      </c>
    </row>
    <row r="402" spans="1:10" ht="14.4" x14ac:dyDescent="0.3">
      <c r="A402" s="9" t="s">
        <v>151</v>
      </c>
      <c r="B402" s="9" t="s">
        <v>910</v>
      </c>
      <c r="C402" s="9" t="s">
        <v>70</v>
      </c>
      <c r="D402" s="10">
        <v>36585</v>
      </c>
      <c r="E402" s="9" t="s">
        <v>911</v>
      </c>
      <c r="F402" s="9" t="s">
        <v>66</v>
      </c>
      <c r="G402" s="9" t="str">
        <f>IF(Table1[[#This Row],[POHLAVI]]="M","Muž", "Žena")</f>
        <v>Muž</v>
      </c>
      <c r="H402" s="9">
        <v>401</v>
      </c>
      <c r="I402" s="9" t="s">
        <v>67</v>
      </c>
      <c r="J402" t="str">
        <f t="shared" si="6"/>
        <v>Petr Hladík</v>
      </c>
    </row>
    <row r="403" spans="1:10" ht="14.4" x14ac:dyDescent="0.3">
      <c r="A403" s="9" t="s">
        <v>293</v>
      </c>
      <c r="B403" s="9" t="s">
        <v>912</v>
      </c>
      <c r="C403" s="9" t="s">
        <v>70</v>
      </c>
      <c r="D403" s="10">
        <v>36514</v>
      </c>
      <c r="E403" s="9" t="s">
        <v>913</v>
      </c>
      <c r="F403" s="9" t="s">
        <v>66</v>
      </c>
      <c r="G403" s="9" t="str">
        <f>IF(Table1[[#This Row],[POHLAVI]]="M","Muž", "Žena")</f>
        <v>Muž</v>
      </c>
      <c r="H403" s="9">
        <v>402</v>
      </c>
      <c r="I403" s="9" t="s">
        <v>67</v>
      </c>
      <c r="J403" t="str">
        <f t="shared" si="6"/>
        <v>Ondřej Homolka</v>
      </c>
    </row>
    <row r="404" spans="1:10" ht="14.4" x14ac:dyDescent="0.3">
      <c r="A404" s="9" t="s">
        <v>288</v>
      </c>
      <c r="B404" s="9" t="s">
        <v>914</v>
      </c>
      <c r="C404" s="9" t="s">
        <v>70</v>
      </c>
      <c r="D404" s="10">
        <v>36059</v>
      </c>
      <c r="E404" s="9" t="s">
        <v>915</v>
      </c>
      <c r="F404" s="9" t="s">
        <v>66</v>
      </c>
      <c r="G404" s="9" t="str">
        <f>IF(Table1[[#This Row],[POHLAVI]]="M","Muž", "Žena")</f>
        <v>Muž</v>
      </c>
      <c r="H404" s="9">
        <v>403</v>
      </c>
      <c r="I404" s="9" t="s">
        <v>67</v>
      </c>
      <c r="J404" t="str">
        <f t="shared" si="6"/>
        <v>Filip Kaša</v>
      </c>
    </row>
    <row r="405" spans="1:10" ht="14.4" x14ac:dyDescent="0.3">
      <c r="A405" s="9" t="s">
        <v>81</v>
      </c>
      <c r="B405" s="9" t="s">
        <v>688</v>
      </c>
      <c r="C405" s="9" t="s">
        <v>70</v>
      </c>
      <c r="D405" s="10">
        <v>36364</v>
      </c>
      <c r="E405" s="9" t="s">
        <v>916</v>
      </c>
      <c r="F405" s="9" t="s">
        <v>66</v>
      </c>
      <c r="G405" s="9" t="str">
        <f>IF(Table1[[#This Row],[POHLAVI]]="M","Muž", "Žena")</f>
        <v>Muž</v>
      </c>
      <c r="H405" s="9">
        <v>404</v>
      </c>
      <c r="I405" s="9" t="s">
        <v>67</v>
      </c>
      <c r="J405" t="str">
        <f t="shared" si="6"/>
        <v>Karel Kulíšek</v>
      </c>
    </row>
    <row r="406" spans="1:10" ht="14.4" x14ac:dyDescent="0.3">
      <c r="A406" s="9" t="s">
        <v>874</v>
      </c>
      <c r="B406" s="9" t="s">
        <v>437</v>
      </c>
      <c r="C406" s="9" t="s">
        <v>70</v>
      </c>
      <c r="D406" s="10">
        <v>36218</v>
      </c>
      <c r="E406" s="9" t="s">
        <v>917</v>
      </c>
      <c r="F406" s="9" t="s">
        <v>72</v>
      </c>
      <c r="G406" s="9" t="str">
        <f>IF(Table1[[#This Row],[POHLAVI]]="M","Muž", "Žena")</f>
        <v>Žena</v>
      </c>
      <c r="H406" s="9">
        <v>405</v>
      </c>
      <c r="I406" s="9" t="s">
        <v>67</v>
      </c>
      <c r="J406" t="str">
        <f t="shared" si="6"/>
        <v>Soňa Lukešová</v>
      </c>
    </row>
    <row r="407" spans="1:10" ht="14.4" x14ac:dyDescent="0.3">
      <c r="A407" s="9" t="s">
        <v>288</v>
      </c>
      <c r="B407" s="9" t="s">
        <v>300</v>
      </c>
      <c r="C407" s="9" t="s">
        <v>70</v>
      </c>
      <c r="D407" s="10">
        <v>36132</v>
      </c>
      <c r="E407" s="9" t="s">
        <v>918</v>
      </c>
      <c r="F407" s="9" t="s">
        <v>66</v>
      </c>
      <c r="G407" s="9" t="str">
        <f>IF(Table1[[#This Row],[POHLAVI]]="M","Muž", "Žena")</f>
        <v>Muž</v>
      </c>
      <c r="H407" s="9">
        <v>406</v>
      </c>
      <c r="I407" s="9" t="s">
        <v>67</v>
      </c>
      <c r="J407" t="str">
        <f t="shared" si="6"/>
        <v>Filip Mareček</v>
      </c>
    </row>
    <row r="408" spans="1:10" ht="14.4" x14ac:dyDescent="0.3">
      <c r="A408" s="9" t="s">
        <v>148</v>
      </c>
      <c r="B408" s="9" t="s">
        <v>847</v>
      </c>
      <c r="C408" s="9" t="s">
        <v>70</v>
      </c>
      <c r="D408" s="10">
        <v>36321</v>
      </c>
      <c r="E408" s="9" t="s">
        <v>919</v>
      </c>
      <c r="F408" s="9" t="s">
        <v>66</v>
      </c>
      <c r="G408" s="9" t="str">
        <f>IF(Table1[[#This Row],[POHLAVI]]="M","Muž", "Žena")</f>
        <v>Muž</v>
      </c>
      <c r="H408" s="9">
        <v>407</v>
      </c>
      <c r="I408" s="9" t="s">
        <v>67</v>
      </c>
      <c r="J408" t="str">
        <f t="shared" si="6"/>
        <v>Daniel Medek</v>
      </c>
    </row>
    <row r="409" spans="1:10" ht="14.4" x14ac:dyDescent="0.3">
      <c r="A409" s="9" t="s">
        <v>716</v>
      </c>
      <c r="B409" s="9" t="s">
        <v>920</v>
      </c>
      <c r="C409" s="9" t="s">
        <v>70</v>
      </c>
      <c r="D409" s="10">
        <v>36007</v>
      </c>
      <c r="E409" s="9" t="s">
        <v>921</v>
      </c>
      <c r="F409" s="9" t="s">
        <v>72</v>
      </c>
      <c r="G409" s="9" t="str">
        <f>IF(Table1[[#This Row],[POHLAVI]]="M","Muž", "Žena")</f>
        <v>Žena</v>
      </c>
      <c r="H409" s="9">
        <v>408</v>
      </c>
      <c r="I409" s="9" t="s">
        <v>117</v>
      </c>
      <c r="J409" t="str">
        <f t="shared" si="6"/>
        <v>Iva Mrkvičková</v>
      </c>
    </row>
    <row r="410" spans="1:10" ht="14.4" x14ac:dyDescent="0.3">
      <c r="A410" s="9" t="s">
        <v>139</v>
      </c>
      <c r="B410" s="9" t="s">
        <v>922</v>
      </c>
      <c r="C410" s="9" t="s">
        <v>70</v>
      </c>
      <c r="D410" s="10">
        <v>36204</v>
      </c>
      <c r="E410" s="9" t="s">
        <v>923</v>
      </c>
      <c r="F410" s="9" t="s">
        <v>66</v>
      </c>
      <c r="G410" s="9" t="str">
        <f>IF(Table1[[#This Row],[POHLAVI]]="M","Muž", "Žena")</f>
        <v>Muž</v>
      </c>
      <c r="H410" s="9">
        <v>409</v>
      </c>
      <c r="I410" s="9" t="s">
        <v>67</v>
      </c>
      <c r="J410" t="str">
        <f t="shared" si="6"/>
        <v>Josef Novotný</v>
      </c>
    </row>
    <row r="411" spans="1:10" ht="14.4" x14ac:dyDescent="0.3">
      <c r="A411" s="9" t="s">
        <v>924</v>
      </c>
      <c r="B411" s="9" t="s">
        <v>251</v>
      </c>
      <c r="C411" s="9" t="s">
        <v>70</v>
      </c>
      <c r="D411" s="10">
        <v>35937</v>
      </c>
      <c r="E411" s="9" t="s">
        <v>925</v>
      </c>
      <c r="F411" s="9" t="s">
        <v>72</v>
      </c>
      <c r="G411" s="9" t="str">
        <f>IF(Table1[[#This Row],[POHLAVI]]="M","Muž", "Žena")</f>
        <v>Žena</v>
      </c>
      <c r="H411" s="9">
        <v>410</v>
      </c>
      <c r="I411" s="9" t="s">
        <v>67</v>
      </c>
      <c r="J411" t="str">
        <f t="shared" si="6"/>
        <v>Pavla Pejchalová</v>
      </c>
    </row>
    <row r="412" spans="1:10" ht="14.4" x14ac:dyDescent="0.3">
      <c r="A412" s="9" t="s">
        <v>136</v>
      </c>
      <c r="B412" s="9" t="s">
        <v>151</v>
      </c>
      <c r="C412" s="9" t="s">
        <v>275</v>
      </c>
      <c r="D412" s="10">
        <v>36196</v>
      </c>
      <c r="E412" s="9" t="s">
        <v>926</v>
      </c>
      <c r="F412" s="9" t="s">
        <v>66</v>
      </c>
      <c r="G412" s="9" t="str">
        <f>IF(Table1[[#This Row],[POHLAVI]]="M","Muž", "Žena")</f>
        <v>Muž</v>
      </c>
      <c r="H412" s="9">
        <v>411</v>
      </c>
      <c r="I412" s="9" t="s">
        <v>67</v>
      </c>
      <c r="J412" t="str">
        <f t="shared" si="6"/>
        <v>Jan Petr</v>
      </c>
    </row>
    <row r="413" spans="1:10" ht="14.4" x14ac:dyDescent="0.3">
      <c r="A413" s="9" t="s">
        <v>103</v>
      </c>
      <c r="B413" s="9" t="s">
        <v>927</v>
      </c>
      <c r="C413" s="9" t="s">
        <v>70</v>
      </c>
      <c r="D413" s="10">
        <v>36139</v>
      </c>
      <c r="E413" s="9" t="s">
        <v>928</v>
      </c>
      <c r="F413" s="9" t="s">
        <v>66</v>
      </c>
      <c r="G413" s="9" t="str">
        <f>IF(Table1[[#This Row],[POHLAVI]]="M","Muž", "Žena")</f>
        <v>Muž</v>
      </c>
      <c r="H413" s="9">
        <v>412</v>
      </c>
      <c r="I413" s="9" t="s">
        <v>80</v>
      </c>
      <c r="J413" t="str">
        <f t="shared" si="6"/>
        <v>Jakub Pochop</v>
      </c>
    </row>
    <row r="414" spans="1:10" ht="14.4" x14ac:dyDescent="0.3">
      <c r="A414" s="9" t="s">
        <v>211</v>
      </c>
      <c r="B414" s="9" t="s">
        <v>424</v>
      </c>
      <c r="C414" s="9" t="s">
        <v>70</v>
      </c>
      <c r="D414" s="10">
        <v>36067</v>
      </c>
      <c r="E414" s="9" t="s">
        <v>929</v>
      </c>
      <c r="F414" s="9" t="s">
        <v>72</v>
      </c>
      <c r="G414" s="9" t="str">
        <f>IF(Table1[[#This Row],[POHLAVI]]="M","Muž", "Žena")</f>
        <v>Žena</v>
      </c>
      <c r="H414" s="9">
        <v>413</v>
      </c>
      <c r="I414" s="9" t="s">
        <v>67</v>
      </c>
      <c r="J414" t="str">
        <f t="shared" si="6"/>
        <v>Valerie Slámová</v>
      </c>
    </row>
    <row r="415" spans="1:10" ht="14.4" x14ac:dyDescent="0.3">
      <c r="A415" s="9" t="s">
        <v>293</v>
      </c>
      <c r="B415" s="9" t="s">
        <v>600</v>
      </c>
      <c r="C415" s="9" t="s">
        <v>70</v>
      </c>
      <c r="D415" s="10">
        <v>36079</v>
      </c>
      <c r="E415" s="9" t="s">
        <v>930</v>
      </c>
      <c r="F415" s="9" t="s">
        <v>66</v>
      </c>
      <c r="G415" s="9" t="str">
        <f>IF(Table1[[#This Row],[POHLAVI]]="M","Muž", "Žena")</f>
        <v>Muž</v>
      </c>
      <c r="H415" s="9">
        <v>414</v>
      </c>
      <c r="I415" s="9" t="s">
        <v>67</v>
      </c>
      <c r="J415" t="str">
        <f t="shared" si="6"/>
        <v>Ondřej Svoboda</v>
      </c>
    </row>
    <row r="416" spans="1:10" ht="14.4" x14ac:dyDescent="0.3">
      <c r="A416" s="9" t="s">
        <v>426</v>
      </c>
      <c r="B416" s="9" t="s">
        <v>931</v>
      </c>
      <c r="C416" s="9" t="s">
        <v>70</v>
      </c>
      <c r="D416" s="10">
        <v>36273</v>
      </c>
      <c r="E416" s="9" t="s">
        <v>932</v>
      </c>
      <c r="F416" s="9" t="s">
        <v>72</v>
      </c>
      <c r="G416" s="9" t="str">
        <f>IF(Table1[[#This Row],[POHLAVI]]="M","Muž", "Žena")</f>
        <v>Žena</v>
      </c>
      <c r="H416" s="9">
        <v>415</v>
      </c>
      <c r="I416" s="9" t="s">
        <v>67</v>
      </c>
      <c r="J416" t="str">
        <f t="shared" si="6"/>
        <v>Pavlína Tománková</v>
      </c>
    </row>
    <row r="417" spans="1:10" ht="14.4" x14ac:dyDescent="0.3">
      <c r="A417" s="9" t="s">
        <v>339</v>
      </c>
      <c r="B417" s="9" t="s">
        <v>933</v>
      </c>
      <c r="C417" s="9" t="s">
        <v>70</v>
      </c>
      <c r="D417" s="10">
        <v>36251</v>
      </c>
      <c r="E417" s="9" t="s">
        <v>934</v>
      </c>
      <c r="F417" s="9" t="s">
        <v>72</v>
      </c>
      <c r="G417" s="9" t="str">
        <f>IF(Table1[[#This Row],[POHLAVI]]="M","Muž", "Žena")</f>
        <v>Žena</v>
      </c>
      <c r="H417" s="9">
        <v>416</v>
      </c>
      <c r="I417" s="9" t="s">
        <v>67</v>
      </c>
      <c r="J417" t="str">
        <f t="shared" si="6"/>
        <v>Vendula Bartoňová</v>
      </c>
    </row>
    <row r="418" spans="1:10" ht="14.4" x14ac:dyDescent="0.3">
      <c r="A418" s="9" t="s">
        <v>935</v>
      </c>
      <c r="B418" s="9" t="s">
        <v>936</v>
      </c>
      <c r="C418" s="9" t="s">
        <v>70</v>
      </c>
      <c r="D418" s="10">
        <v>36167</v>
      </c>
      <c r="E418" s="9" t="s">
        <v>937</v>
      </c>
      <c r="F418" s="9" t="s">
        <v>66</v>
      </c>
      <c r="G418" s="9" t="str">
        <f>IF(Table1[[#This Row],[POHLAVI]]="M","Muž", "Žena")</f>
        <v>Muž</v>
      </c>
      <c r="H418" s="9">
        <v>417</v>
      </c>
      <c r="I418" s="9" t="s">
        <v>67</v>
      </c>
      <c r="J418" t="str">
        <f t="shared" si="6"/>
        <v>Věroslav Cihelna</v>
      </c>
    </row>
    <row r="419" spans="1:10" ht="14.4" x14ac:dyDescent="0.3">
      <c r="A419" s="9" t="s">
        <v>148</v>
      </c>
      <c r="B419" s="9" t="s">
        <v>938</v>
      </c>
      <c r="C419" s="9" t="s">
        <v>70</v>
      </c>
      <c r="D419" s="10">
        <v>35778</v>
      </c>
      <c r="E419" s="9" t="s">
        <v>939</v>
      </c>
      <c r="F419" s="9" t="s">
        <v>66</v>
      </c>
      <c r="G419" s="9" t="str">
        <f>IF(Table1[[#This Row],[POHLAVI]]="M","Muž", "Žena")</f>
        <v>Muž</v>
      </c>
      <c r="H419" s="9">
        <v>418</v>
      </c>
      <c r="I419" s="9" t="s">
        <v>67</v>
      </c>
      <c r="J419" t="str">
        <f t="shared" si="6"/>
        <v>Daniel Crlík</v>
      </c>
    </row>
    <row r="420" spans="1:10" ht="14.4" x14ac:dyDescent="0.3">
      <c r="A420" s="9" t="s">
        <v>364</v>
      </c>
      <c r="B420" s="9" t="s">
        <v>940</v>
      </c>
      <c r="C420" s="9" t="s">
        <v>75</v>
      </c>
      <c r="D420" s="10">
        <v>36132</v>
      </c>
      <c r="E420" s="9" t="s">
        <v>941</v>
      </c>
      <c r="F420" s="9" t="s">
        <v>72</v>
      </c>
      <c r="G420" s="9" t="str">
        <f>IF(Table1[[#This Row],[POHLAVI]]="M","Muž", "Žena")</f>
        <v>Žena</v>
      </c>
      <c r="H420" s="9">
        <v>419</v>
      </c>
      <c r="I420" s="9" t="s">
        <v>67</v>
      </c>
      <c r="J420" t="str">
        <f t="shared" si="6"/>
        <v>Simona Dostálová</v>
      </c>
    </row>
    <row r="421" spans="1:10" ht="14.4" x14ac:dyDescent="0.3">
      <c r="A421" s="9" t="s">
        <v>239</v>
      </c>
      <c r="B421" s="9" t="s">
        <v>343</v>
      </c>
      <c r="C421" s="9" t="s">
        <v>70</v>
      </c>
      <c r="D421" s="10">
        <v>36354</v>
      </c>
      <c r="E421" s="9" t="s">
        <v>942</v>
      </c>
      <c r="F421" s="9" t="s">
        <v>72</v>
      </c>
      <c r="G421" s="9" t="str">
        <f>IF(Table1[[#This Row],[POHLAVI]]="M","Muž", "Žena")</f>
        <v>Žena</v>
      </c>
      <c r="H421" s="9">
        <v>420</v>
      </c>
      <c r="I421" s="9" t="s">
        <v>67</v>
      </c>
      <c r="J421" t="str">
        <f t="shared" si="6"/>
        <v>Adéla Dvořáková</v>
      </c>
    </row>
    <row r="422" spans="1:10" ht="14.4" x14ac:dyDescent="0.3">
      <c r="A422" s="9" t="s">
        <v>145</v>
      </c>
      <c r="B422" s="9" t="s">
        <v>82</v>
      </c>
      <c r="C422" s="9" t="s">
        <v>70</v>
      </c>
      <c r="D422" s="10">
        <v>36049</v>
      </c>
      <c r="E422" s="9" t="s">
        <v>943</v>
      </c>
      <c r="F422" s="9" t="s">
        <v>66</v>
      </c>
      <c r="G422" s="9" t="str">
        <f>IF(Table1[[#This Row],[POHLAVI]]="M","Muž", "Žena")</f>
        <v>Muž</v>
      </c>
      <c r="H422" s="9">
        <v>421</v>
      </c>
      <c r="I422" s="9" t="s">
        <v>67</v>
      </c>
      <c r="J422" t="str">
        <f t="shared" si="6"/>
        <v>Pavel Janů</v>
      </c>
    </row>
    <row r="423" spans="1:10" ht="14.4" x14ac:dyDescent="0.3">
      <c r="A423" s="9" t="s">
        <v>94</v>
      </c>
      <c r="B423" s="9" t="s">
        <v>673</v>
      </c>
      <c r="C423" s="9" t="s">
        <v>70</v>
      </c>
      <c r="D423" s="10">
        <v>36025</v>
      </c>
      <c r="E423" s="9" t="s">
        <v>944</v>
      </c>
      <c r="F423" s="9" t="s">
        <v>66</v>
      </c>
      <c r="G423" s="9" t="str">
        <f>IF(Table1[[#This Row],[POHLAVI]]="M","Muž", "Žena")</f>
        <v>Muž</v>
      </c>
      <c r="H423" s="9">
        <v>422</v>
      </c>
      <c r="I423" s="9" t="s">
        <v>67</v>
      </c>
      <c r="J423" t="str">
        <f t="shared" si="6"/>
        <v>Lukáš Kosař</v>
      </c>
    </row>
    <row r="424" spans="1:10" ht="14.4" x14ac:dyDescent="0.3">
      <c r="A424" s="9" t="s">
        <v>255</v>
      </c>
      <c r="B424" s="9" t="s">
        <v>506</v>
      </c>
      <c r="C424" s="9" t="s">
        <v>70</v>
      </c>
      <c r="D424" s="10">
        <v>35578</v>
      </c>
      <c r="E424" s="9" t="s">
        <v>945</v>
      </c>
      <c r="F424" s="9" t="s">
        <v>72</v>
      </c>
      <c r="G424" s="9" t="str">
        <f>IF(Table1[[#This Row],[POHLAVI]]="M","Muž", "Žena")</f>
        <v>Žena</v>
      </c>
      <c r="H424" s="9">
        <v>423</v>
      </c>
      <c r="I424" s="9" t="s">
        <v>91</v>
      </c>
      <c r="J424" t="str">
        <f t="shared" si="6"/>
        <v>Aneta Krejčí</v>
      </c>
    </row>
    <row r="425" spans="1:10" ht="14.4" x14ac:dyDescent="0.3">
      <c r="A425" s="9" t="s">
        <v>111</v>
      </c>
      <c r="B425" s="9" t="s">
        <v>946</v>
      </c>
      <c r="C425" s="9" t="s">
        <v>70</v>
      </c>
      <c r="D425" s="10">
        <v>36030</v>
      </c>
      <c r="E425" s="9" t="s">
        <v>947</v>
      </c>
      <c r="F425" s="9" t="s">
        <v>66</v>
      </c>
      <c r="G425" s="9" t="str">
        <f>IF(Table1[[#This Row],[POHLAVI]]="M","Muž", "Žena")</f>
        <v>Muž</v>
      </c>
      <c r="H425" s="9">
        <v>424</v>
      </c>
      <c r="I425" s="9" t="s">
        <v>67</v>
      </c>
      <c r="J425" t="str">
        <f t="shared" si="6"/>
        <v>Adam Machovec</v>
      </c>
    </row>
    <row r="426" spans="1:10" ht="14.4" x14ac:dyDescent="0.3">
      <c r="A426" s="9" t="s">
        <v>370</v>
      </c>
      <c r="B426" s="9" t="s">
        <v>251</v>
      </c>
      <c r="C426" s="9" t="s">
        <v>70</v>
      </c>
      <c r="D426" s="10">
        <v>36209</v>
      </c>
      <c r="E426" s="9" t="s">
        <v>948</v>
      </c>
      <c r="F426" s="9" t="s">
        <v>72</v>
      </c>
      <c r="G426" s="9" t="str">
        <f>IF(Table1[[#This Row],[POHLAVI]]="M","Muž", "Žena")</f>
        <v>Žena</v>
      </c>
      <c r="H426" s="9">
        <v>425</v>
      </c>
      <c r="I426" s="9" t="s">
        <v>67</v>
      </c>
      <c r="J426" t="str">
        <f t="shared" si="6"/>
        <v>Gabriela Pejchalová</v>
      </c>
    </row>
    <row r="427" spans="1:10" ht="14.4" x14ac:dyDescent="0.3">
      <c r="A427" s="9" t="s">
        <v>383</v>
      </c>
      <c r="B427" s="9" t="s">
        <v>524</v>
      </c>
      <c r="C427" s="9" t="s">
        <v>70</v>
      </c>
      <c r="D427" s="10">
        <v>36205</v>
      </c>
      <c r="E427" s="9" t="s">
        <v>949</v>
      </c>
      <c r="F427" s="9" t="s">
        <v>66</v>
      </c>
      <c r="G427" s="9" t="str">
        <f>IF(Table1[[#This Row],[POHLAVI]]="M","Muž", "Žena")</f>
        <v>Muž</v>
      </c>
      <c r="H427" s="9">
        <v>426</v>
      </c>
      <c r="I427" s="9" t="s">
        <v>67</v>
      </c>
      <c r="J427" t="str">
        <f t="shared" si="6"/>
        <v>Ladislav Peňáz</v>
      </c>
    </row>
    <row r="428" spans="1:10" ht="14.4" x14ac:dyDescent="0.3">
      <c r="A428" s="9" t="s">
        <v>278</v>
      </c>
      <c r="B428" s="9" t="s">
        <v>422</v>
      </c>
      <c r="C428" s="9" t="s">
        <v>70</v>
      </c>
      <c r="D428" s="10">
        <v>36106</v>
      </c>
      <c r="E428" s="9" t="s">
        <v>950</v>
      </c>
      <c r="F428" s="9" t="s">
        <v>66</v>
      </c>
      <c r="G428" s="9" t="str">
        <f>IF(Table1[[#This Row],[POHLAVI]]="M","Muž", "Žena")</f>
        <v>Muž</v>
      </c>
      <c r="H428" s="9">
        <v>427</v>
      </c>
      <c r="I428" s="9" t="s">
        <v>67</v>
      </c>
      <c r="J428" t="str">
        <f t="shared" si="6"/>
        <v>Jiří Poul</v>
      </c>
    </row>
    <row r="429" spans="1:10" ht="14.4" x14ac:dyDescent="0.3">
      <c r="A429" s="9" t="s">
        <v>261</v>
      </c>
      <c r="B429" s="9" t="s">
        <v>951</v>
      </c>
      <c r="C429" s="9" t="s">
        <v>70</v>
      </c>
      <c r="D429" s="10">
        <v>36135</v>
      </c>
      <c r="E429" s="9" t="s">
        <v>952</v>
      </c>
      <c r="F429" s="9" t="s">
        <v>72</v>
      </c>
      <c r="G429" s="9" t="str">
        <f>IF(Table1[[#This Row],[POHLAVI]]="M","Muž", "Žena")</f>
        <v>Žena</v>
      </c>
      <c r="H429" s="9">
        <v>428</v>
      </c>
      <c r="I429" s="9" t="s">
        <v>67</v>
      </c>
      <c r="J429" t="str">
        <f t="shared" si="6"/>
        <v>Jana Puchrová</v>
      </c>
    </row>
    <row r="430" spans="1:10" ht="14.4" x14ac:dyDescent="0.3">
      <c r="A430" s="9" t="s">
        <v>732</v>
      </c>
      <c r="B430" s="9" t="s">
        <v>485</v>
      </c>
      <c r="C430" s="9" t="s">
        <v>70</v>
      </c>
      <c r="D430" s="10">
        <v>35974</v>
      </c>
      <c r="E430" s="9" t="s">
        <v>953</v>
      </c>
      <c r="F430" s="9" t="s">
        <v>66</v>
      </c>
      <c r="G430" s="9" t="str">
        <f>IF(Table1[[#This Row],[POHLAVI]]="M","Muž", "Žena")</f>
        <v>Muž</v>
      </c>
      <c r="H430" s="9">
        <v>429</v>
      </c>
      <c r="I430" s="9" t="s">
        <v>67</v>
      </c>
      <c r="J430" t="str">
        <f t="shared" si="6"/>
        <v>Dominik Suchý</v>
      </c>
    </row>
    <row r="431" spans="1:10" ht="14.4" x14ac:dyDescent="0.3">
      <c r="A431" s="9" t="s">
        <v>183</v>
      </c>
      <c r="B431" s="9" t="s">
        <v>954</v>
      </c>
      <c r="C431" s="9" t="s">
        <v>70</v>
      </c>
      <c r="D431" s="10">
        <v>36343</v>
      </c>
      <c r="E431" s="9" t="s">
        <v>955</v>
      </c>
      <c r="F431" s="9" t="s">
        <v>72</v>
      </c>
      <c r="G431" s="9" t="str">
        <f>IF(Table1[[#This Row],[POHLAVI]]="M","Muž", "Žena")</f>
        <v>Žena</v>
      </c>
      <c r="H431" s="9">
        <v>430</v>
      </c>
      <c r="I431" s="9" t="s">
        <v>80</v>
      </c>
      <c r="J431" t="str">
        <f t="shared" si="6"/>
        <v>Anna Šarounová</v>
      </c>
    </row>
    <row r="432" spans="1:10" ht="14.4" x14ac:dyDescent="0.3">
      <c r="A432" s="9" t="s">
        <v>62</v>
      </c>
      <c r="B432" s="9" t="s">
        <v>956</v>
      </c>
      <c r="C432" s="9" t="s">
        <v>70</v>
      </c>
      <c r="D432" s="10">
        <v>36154</v>
      </c>
      <c r="E432" s="9" t="s">
        <v>957</v>
      </c>
      <c r="F432" s="9" t="s">
        <v>66</v>
      </c>
      <c r="G432" s="9" t="str">
        <f>IF(Table1[[#This Row],[POHLAVI]]="M","Muž", "Žena")</f>
        <v>Muž</v>
      </c>
      <c r="H432" s="9">
        <v>431</v>
      </c>
      <c r="I432" s="9" t="s">
        <v>67</v>
      </c>
      <c r="J432" t="str">
        <f t="shared" si="6"/>
        <v>Radim Šimek</v>
      </c>
    </row>
    <row r="433" spans="1:10" ht="14.4" x14ac:dyDescent="0.3">
      <c r="A433" s="9" t="s">
        <v>77</v>
      </c>
      <c r="B433" s="9" t="s">
        <v>958</v>
      </c>
      <c r="C433" s="9" t="s">
        <v>70</v>
      </c>
      <c r="D433" s="10">
        <v>36236</v>
      </c>
      <c r="E433" s="9" t="s">
        <v>959</v>
      </c>
      <c r="F433" s="9" t="s">
        <v>66</v>
      </c>
      <c r="G433" s="9" t="str">
        <f>IF(Table1[[#This Row],[POHLAVI]]="M","Muž", "Žena")</f>
        <v>Muž</v>
      </c>
      <c r="H433" s="9">
        <v>432</v>
      </c>
      <c r="I433" s="9" t="s">
        <v>67</v>
      </c>
      <c r="J433" t="str">
        <f t="shared" si="6"/>
        <v>Tomáš Trojánek</v>
      </c>
    </row>
    <row r="434" spans="1:10" ht="14.4" x14ac:dyDescent="0.3">
      <c r="A434" s="9" t="s">
        <v>133</v>
      </c>
      <c r="B434" s="9" t="s">
        <v>960</v>
      </c>
      <c r="C434" s="9" t="s">
        <v>70</v>
      </c>
      <c r="D434" s="10">
        <v>35739</v>
      </c>
      <c r="E434" s="9" t="s">
        <v>961</v>
      </c>
      <c r="F434" s="9" t="s">
        <v>72</v>
      </c>
      <c r="G434" s="9" t="str">
        <f>IF(Table1[[#This Row],[POHLAVI]]="M","Muž", "Žena")</f>
        <v>Žena</v>
      </c>
      <c r="H434" s="9">
        <v>433</v>
      </c>
      <c r="I434" s="9" t="s">
        <v>67</v>
      </c>
      <c r="J434" t="str">
        <f t="shared" si="6"/>
        <v>Tereza Zdražilová</v>
      </c>
    </row>
    <row r="435" spans="1:10" ht="14.4" x14ac:dyDescent="0.3">
      <c r="A435" s="9" t="s">
        <v>106</v>
      </c>
      <c r="B435" s="9" t="s">
        <v>152</v>
      </c>
      <c r="C435" s="9" t="s">
        <v>70</v>
      </c>
      <c r="D435" s="10">
        <v>36234</v>
      </c>
      <c r="E435" s="9" t="s">
        <v>962</v>
      </c>
      <c r="F435" s="9" t="s">
        <v>66</v>
      </c>
      <c r="G435" s="9" t="str">
        <f>IF(Table1[[#This Row],[POHLAVI]]="M","Muž", "Žena")</f>
        <v>Muž</v>
      </c>
      <c r="H435" s="9">
        <v>434</v>
      </c>
      <c r="I435" s="9" t="s">
        <v>67</v>
      </c>
      <c r="J435" t="str">
        <f t="shared" si="6"/>
        <v>Vojtěch Dvořák</v>
      </c>
    </row>
    <row r="436" spans="1:10" ht="14.4" x14ac:dyDescent="0.3">
      <c r="A436" s="9" t="s">
        <v>963</v>
      </c>
      <c r="B436" s="9" t="s">
        <v>562</v>
      </c>
      <c r="C436" s="9" t="s">
        <v>70</v>
      </c>
      <c r="D436" s="10">
        <v>36203</v>
      </c>
      <c r="E436" s="9" t="s">
        <v>964</v>
      </c>
      <c r="F436" s="9" t="s">
        <v>72</v>
      </c>
      <c r="G436" s="9" t="str">
        <f>IF(Table1[[#This Row],[POHLAVI]]="M","Muž", "Žena")</f>
        <v>Žena</v>
      </c>
      <c r="H436" s="9">
        <v>435</v>
      </c>
      <c r="I436" s="9" t="s">
        <v>67</v>
      </c>
      <c r="J436" t="str">
        <f t="shared" si="6"/>
        <v>Zdenka Filipi</v>
      </c>
    </row>
    <row r="437" spans="1:10" ht="14.4" x14ac:dyDescent="0.3">
      <c r="A437" s="9" t="s">
        <v>127</v>
      </c>
      <c r="B437" s="9" t="s">
        <v>965</v>
      </c>
      <c r="C437" s="9" t="s">
        <v>70</v>
      </c>
      <c r="D437" s="10">
        <v>36256</v>
      </c>
      <c r="E437" s="9" t="s">
        <v>966</v>
      </c>
      <c r="F437" s="9" t="s">
        <v>66</v>
      </c>
      <c r="G437" s="9" t="str">
        <f>IF(Table1[[#This Row],[POHLAVI]]="M","Muž", "Žena")</f>
        <v>Muž</v>
      </c>
      <c r="H437" s="9">
        <v>436</v>
      </c>
      <c r="I437" s="9" t="s">
        <v>80</v>
      </c>
      <c r="J437" t="str">
        <f t="shared" si="6"/>
        <v>Martin Havelka</v>
      </c>
    </row>
    <row r="438" spans="1:10" ht="14.4" x14ac:dyDescent="0.3">
      <c r="A438" s="9" t="s">
        <v>386</v>
      </c>
      <c r="B438" s="9" t="s">
        <v>967</v>
      </c>
      <c r="C438" s="9" t="s">
        <v>70</v>
      </c>
      <c r="D438" s="10">
        <v>36189</v>
      </c>
      <c r="E438" s="9" t="s">
        <v>968</v>
      </c>
      <c r="F438" s="9" t="s">
        <v>66</v>
      </c>
      <c r="G438" s="9" t="str">
        <f>IF(Table1[[#This Row],[POHLAVI]]="M","Muž", "Žena")</f>
        <v>Muž</v>
      </c>
      <c r="H438" s="9">
        <v>437</v>
      </c>
      <c r="I438" s="9" t="s">
        <v>67</v>
      </c>
      <c r="J438" t="str">
        <f t="shared" si="6"/>
        <v>Michal Hrdina</v>
      </c>
    </row>
    <row r="439" spans="1:10" ht="14.4" x14ac:dyDescent="0.3">
      <c r="A439" s="9" t="s">
        <v>77</v>
      </c>
      <c r="B439" s="9" t="s">
        <v>82</v>
      </c>
      <c r="C439" s="9" t="s">
        <v>70</v>
      </c>
      <c r="D439" s="10">
        <v>36184</v>
      </c>
      <c r="E439" s="9" t="s">
        <v>969</v>
      </c>
      <c r="F439" s="9" t="s">
        <v>66</v>
      </c>
      <c r="G439" s="9" t="str">
        <f>IF(Table1[[#This Row],[POHLAVI]]="M","Muž", "Žena")</f>
        <v>Muž</v>
      </c>
      <c r="H439" s="9">
        <v>438</v>
      </c>
      <c r="I439" s="9" t="s">
        <v>67</v>
      </c>
      <c r="J439" t="str">
        <f t="shared" si="6"/>
        <v>Tomáš Janů</v>
      </c>
    </row>
    <row r="440" spans="1:10" ht="14.4" x14ac:dyDescent="0.3">
      <c r="A440" s="9" t="s">
        <v>151</v>
      </c>
      <c r="B440" s="9" t="s">
        <v>575</v>
      </c>
      <c r="C440" s="9" t="s">
        <v>70</v>
      </c>
      <c r="D440" s="10">
        <v>36320</v>
      </c>
      <c r="E440" s="9" t="s">
        <v>970</v>
      </c>
      <c r="F440" s="9" t="s">
        <v>66</v>
      </c>
      <c r="G440" s="9" t="str">
        <f>IF(Table1[[#This Row],[POHLAVI]]="M","Muž", "Žena")</f>
        <v>Muž</v>
      </c>
      <c r="H440" s="9">
        <v>439</v>
      </c>
      <c r="I440" s="9" t="s">
        <v>67</v>
      </c>
      <c r="J440" t="str">
        <f t="shared" si="6"/>
        <v>Petr Jež</v>
      </c>
    </row>
    <row r="441" spans="1:10" ht="14.4" x14ac:dyDescent="0.3">
      <c r="A441" s="9" t="s">
        <v>619</v>
      </c>
      <c r="B441" s="9" t="s">
        <v>240</v>
      </c>
      <c r="C441" s="9" t="s">
        <v>70</v>
      </c>
      <c r="D441" s="10">
        <v>36069</v>
      </c>
      <c r="E441" s="9" t="s">
        <v>971</v>
      </c>
      <c r="F441" s="9" t="s">
        <v>72</v>
      </c>
      <c r="G441" s="9" t="str">
        <f>IF(Table1[[#This Row],[POHLAVI]]="M","Muž", "Žena")</f>
        <v>Žena</v>
      </c>
      <c r="H441" s="9">
        <v>440</v>
      </c>
      <c r="I441" s="9" t="s">
        <v>67</v>
      </c>
      <c r="J441" t="str">
        <f t="shared" si="6"/>
        <v>Radka Křížová</v>
      </c>
    </row>
    <row r="442" spans="1:10" ht="14.4" x14ac:dyDescent="0.3">
      <c r="A442" s="9" t="s">
        <v>94</v>
      </c>
      <c r="B442" s="9" t="s">
        <v>972</v>
      </c>
      <c r="C442" s="9" t="s">
        <v>601</v>
      </c>
      <c r="D442" s="10">
        <v>36187</v>
      </c>
      <c r="E442" s="9" t="s">
        <v>973</v>
      </c>
      <c r="F442" s="9" t="s">
        <v>66</v>
      </c>
      <c r="G442" s="9" t="str">
        <f>IF(Table1[[#This Row],[POHLAVI]]="M","Muž", "Žena")</f>
        <v>Muž</v>
      </c>
      <c r="H442" s="9">
        <v>441</v>
      </c>
      <c r="I442" s="9" t="s">
        <v>67</v>
      </c>
      <c r="J442" t="str">
        <f t="shared" si="6"/>
        <v>Lukáš Kučera</v>
      </c>
    </row>
    <row r="443" spans="1:10" ht="14.4" x14ac:dyDescent="0.3">
      <c r="A443" s="9" t="s">
        <v>288</v>
      </c>
      <c r="B443" s="9" t="s">
        <v>688</v>
      </c>
      <c r="C443" s="9" t="s">
        <v>75</v>
      </c>
      <c r="D443" s="10">
        <v>36187</v>
      </c>
      <c r="E443" s="9" t="s">
        <v>974</v>
      </c>
      <c r="F443" s="9" t="s">
        <v>66</v>
      </c>
      <c r="G443" s="9" t="str">
        <f>IF(Table1[[#This Row],[POHLAVI]]="M","Muž", "Žena")</f>
        <v>Muž</v>
      </c>
      <c r="H443" s="9">
        <v>442</v>
      </c>
      <c r="I443" s="9" t="s">
        <v>67</v>
      </c>
      <c r="J443" t="str">
        <f t="shared" si="6"/>
        <v>Filip Kulíšek</v>
      </c>
    </row>
    <row r="444" spans="1:10" ht="14.4" x14ac:dyDescent="0.3">
      <c r="A444" s="9" t="s">
        <v>975</v>
      </c>
      <c r="B444" s="9" t="s">
        <v>520</v>
      </c>
      <c r="C444" s="9" t="s">
        <v>70</v>
      </c>
      <c r="D444" s="10">
        <v>36084</v>
      </c>
      <c r="E444" s="9" t="s">
        <v>976</v>
      </c>
      <c r="F444" s="9" t="s">
        <v>72</v>
      </c>
      <c r="G444" s="9" t="str">
        <f>IF(Table1[[#This Row],[POHLAVI]]="M","Muž", "Žena")</f>
        <v>Žena</v>
      </c>
      <c r="H444" s="9">
        <v>443</v>
      </c>
      <c r="I444" s="9" t="s">
        <v>67</v>
      </c>
      <c r="J444" t="str">
        <f t="shared" si="6"/>
        <v>Marie Novotná</v>
      </c>
    </row>
    <row r="445" spans="1:10" ht="14.4" x14ac:dyDescent="0.3">
      <c r="A445" s="9" t="s">
        <v>183</v>
      </c>
      <c r="B445" s="9" t="s">
        <v>977</v>
      </c>
      <c r="C445" s="9" t="s">
        <v>70</v>
      </c>
      <c r="D445" s="10">
        <v>36164</v>
      </c>
      <c r="E445" s="9" t="s">
        <v>978</v>
      </c>
      <c r="F445" s="9" t="s">
        <v>72</v>
      </c>
      <c r="G445" s="9" t="str">
        <f>IF(Table1[[#This Row],[POHLAVI]]="M","Muž", "Žena")</f>
        <v>Žena</v>
      </c>
      <c r="H445" s="9">
        <v>444</v>
      </c>
      <c r="I445" s="9" t="s">
        <v>91</v>
      </c>
      <c r="J445" t="str">
        <f t="shared" si="6"/>
        <v>Anna Obrová</v>
      </c>
    </row>
    <row r="446" spans="1:10" ht="14.4" x14ac:dyDescent="0.3">
      <c r="A446" s="9" t="s">
        <v>979</v>
      </c>
      <c r="B446" s="9" t="s">
        <v>524</v>
      </c>
      <c r="C446" s="9" t="s">
        <v>601</v>
      </c>
      <c r="D446" s="10">
        <v>36274</v>
      </c>
      <c r="E446" s="9" t="s">
        <v>980</v>
      </c>
      <c r="F446" s="9" t="s">
        <v>66</v>
      </c>
      <c r="G446" s="9" t="str">
        <f>IF(Table1[[#This Row],[POHLAVI]]="M","Muž", "Žena")</f>
        <v>Muž</v>
      </c>
      <c r="H446" s="9">
        <v>445</v>
      </c>
      <c r="I446" s="9" t="s">
        <v>67</v>
      </c>
      <c r="J446" t="str">
        <f t="shared" si="6"/>
        <v>Vladimír Peňáz</v>
      </c>
    </row>
    <row r="447" spans="1:10" ht="14.4" x14ac:dyDescent="0.3">
      <c r="A447" s="9" t="s">
        <v>386</v>
      </c>
      <c r="B447" s="9" t="s">
        <v>151</v>
      </c>
      <c r="C447" s="9" t="s">
        <v>70</v>
      </c>
      <c r="D447" s="10">
        <v>36313</v>
      </c>
      <c r="E447" s="9" t="s">
        <v>981</v>
      </c>
      <c r="F447" s="9" t="s">
        <v>66</v>
      </c>
      <c r="G447" s="9" t="str">
        <f>IF(Table1[[#This Row],[POHLAVI]]="M","Muž", "Žena")</f>
        <v>Muž</v>
      </c>
      <c r="H447" s="9">
        <v>446</v>
      </c>
      <c r="I447" s="9" t="s">
        <v>67</v>
      </c>
      <c r="J447" t="str">
        <f t="shared" si="6"/>
        <v>Michal Petr</v>
      </c>
    </row>
    <row r="448" spans="1:10" ht="14.4" x14ac:dyDescent="0.3">
      <c r="A448" s="9" t="s">
        <v>77</v>
      </c>
      <c r="B448" s="9" t="s">
        <v>982</v>
      </c>
      <c r="C448" s="9" t="s">
        <v>70</v>
      </c>
      <c r="D448" s="10">
        <v>36169</v>
      </c>
      <c r="E448" s="9" t="s">
        <v>983</v>
      </c>
      <c r="F448" s="9" t="s">
        <v>66</v>
      </c>
      <c r="G448" s="9" t="str">
        <f>IF(Table1[[#This Row],[POHLAVI]]="M","Muž", "Žena")</f>
        <v>Muž</v>
      </c>
      <c r="H448" s="9">
        <v>447</v>
      </c>
      <c r="I448" s="9" t="s">
        <v>67</v>
      </c>
      <c r="J448" t="str">
        <f t="shared" si="6"/>
        <v>Tomáš Rolinek</v>
      </c>
    </row>
    <row r="449" spans="1:10" ht="14.4" x14ac:dyDescent="0.3">
      <c r="A449" s="9" t="s">
        <v>293</v>
      </c>
      <c r="B449" s="9" t="s">
        <v>984</v>
      </c>
      <c r="C449" s="9" t="s">
        <v>70</v>
      </c>
      <c r="D449" s="10">
        <v>36288</v>
      </c>
      <c r="E449" s="9" t="s">
        <v>985</v>
      </c>
      <c r="F449" s="9" t="s">
        <v>66</v>
      </c>
      <c r="G449" s="9" t="str">
        <f>IF(Table1[[#This Row],[POHLAVI]]="M","Muž", "Žena")</f>
        <v>Muž</v>
      </c>
      <c r="H449" s="9">
        <v>448</v>
      </c>
      <c r="I449" s="9" t="s">
        <v>117</v>
      </c>
      <c r="J449" t="str">
        <f t="shared" si="6"/>
        <v>Ondřej Ševčík</v>
      </c>
    </row>
    <row r="450" spans="1:10" ht="14.4" x14ac:dyDescent="0.3">
      <c r="A450" s="9" t="s">
        <v>258</v>
      </c>
      <c r="B450" s="9" t="s">
        <v>986</v>
      </c>
      <c r="C450" s="9" t="s">
        <v>70</v>
      </c>
      <c r="D450" s="10">
        <v>36378</v>
      </c>
      <c r="E450" s="9" t="s">
        <v>987</v>
      </c>
      <c r="F450" s="9" t="s">
        <v>72</v>
      </c>
      <c r="G450" s="9" t="str">
        <f>IF(Table1[[#This Row],[POHLAVI]]="M","Muž", "Žena")</f>
        <v>Žena</v>
      </c>
      <c r="H450" s="9">
        <v>449</v>
      </c>
      <c r="I450" s="9" t="s">
        <v>67</v>
      </c>
      <c r="J450" t="str">
        <f t="shared" si="6"/>
        <v>Karolína Švárová</v>
      </c>
    </row>
    <row r="451" spans="1:10" ht="14.4" x14ac:dyDescent="0.3">
      <c r="A451" s="9" t="s">
        <v>247</v>
      </c>
      <c r="B451" s="9" t="s">
        <v>988</v>
      </c>
      <c r="C451" s="9" t="s">
        <v>70</v>
      </c>
      <c r="D451" s="10">
        <v>36042</v>
      </c>
      <c r="E451" s="9" t="s">
        <v>989</v>
      </c>
      <c r="F451" s="9" t="s">
        <v>72</v>
      </c>
      <c r="G451" s="9" t="str">
        <f>IF(Table1[[#This Row],[POHLAVI]]="M","Muž", "Žena")</f>
        <v>Žena</v>
      </c>
      <c r="H451" s="9">
        <v>450</v>
      </c>
      <c r="I451" s="9" t="s">
        <v>67</v>
      </c>
      <c r="J451" t="str">
        <f t="shared" ref="J451:J514" si="7">_xlfn.TEXTJOIN(" ",1,$A451:$B451)</f>
        <v>Jitka Trávníčková</v>
      </c>
    </row>
    <row r="452" spans="1:10" ht="14.4" x14ac:dyDescent="0.3">
      <c r="A452" s="9" t="s">
        <v>183</v>
      </c>
      <c r="B452" s="9" t="s">
        <v>990</v>
      </c>
      <c r="C452" s="9" t="s">
        <v>70</v>
      </c>
      <c r="D452" s="10">
        <v>36335</v>
      </c>
      <c r="E452" s="9" t="s">
        <v>991</v>
      </c>
      <c r="F452" s="9" t="s">
        <v>72</v>
      </c>
      <c r="G452" s="9" t="str">
        <f>IF(Table1[[#This Row],[POHLAVI]]="M","Muž", "Žena")</f>
        <v>Žena</v>
      </c>
      <c r="H452" s="9">
        <v>451</v>
      </c>
      <c r="I452" s="9" t="s">
        <v>67</v>
      </c>
      <c r="J452" t="str">
        <f t="shared" si="7"/>
        <v>Anna Truksová</v>
      </c>
    </row>
    <row r="453" spans="1:10" ht="14.4" x14ac:dyDescent="0.3">
      <c r="A453" s="9" t="s">
        <v>569</v>
      </c>
      <c r="B453" s="9" t="s">
        <v>134</v>
      </c>
      <c r="C453" s="9" t="s">
        <v>75</v>
      </c>
      <c r="D453" s="10">
        <v>36145</v>
      </c>
      <c r="E453" s="9" t="s">
        <v>992</v>
      </c>
      <c r="F453" s="9" t="s">
        <v>72</v>
      </c>
      <c r="G453" s="9" t="str">
        <f>IF(Table1[[#This Row],[POHLAVI]]="M","Muž", "Žena")</f>
        <v>Žena</v>
      </c>
      <c r="H453" s="9">
        <v>452</v>
      </c>
      <c r="I453" s="9" t="s">
        <v>67</v>
      </c>
      <c r="J453" t="str">
        <f t="shared" si="7"/>
        <v>Terezie Tulisová</v>
      </c>
    </row>
    <row r="454" spans="1:10" ht="14.4" x14ac:dyDescent="0.3">
      <c r="A454" s="9" t="s">
        <v>261</v>
      </c>
      <c r="B454" s="9" t="s">
        <v>542</v>
      </c>
      <c r="C454" s="9" t="s">
        <v>993</v>
      </c>
      <c r="D454" s="10">
        <v>36341</v>
      </c>
      <c r="E454" s="9" t="s">
        <v>994</v>
      </c>
      <c r="F454" s="9" t="s">
        <v>72</v>
      </c>
      <c r="G454" s="9" t="str">
        <f>IF(Table1[[#This Row],[POHLAVI]]="M","Muž", "Žena")</f>
        <v>Žena</v>
      </c>
      <c r="H454" s="9">
        <v>453</v>
      </c>
      <c r="I454" s="9" t="s">
        <v>67</v>
      </c>
      <c r="J454" t="str">
        <f t="shared" si="7"/>
        <v>Jana Večeřová</v>
      </c>
    </row>
    <row r="455" spans="1:10" ht="14.4" x14ac:dyDescent="0.3">
      <c r="A455" s="9" t="s">
        <v>258</v>
      </c>
      <c r="B455" s="9" t="s">
        <v>816</v>
      </c>
      <c r="C455" s="9" t="s">
        <v>601</v>
      </c>
      <c r="D455" s="10">
        <v>36088</v>
      </c>
      <c r="E455" s="9" t="s">
        <v>995</v>
      </c>
      <c r="F455" s="9" t="s">
        <v>72</v>
      </c>
      <c r="G455" s="9" t="str">
        <f>IF(Table1[[#This Row],[POHLAVI]]="M","Muž", "Žena")</f>
        <v>Žena</v>
      </c>
      <c r="H455" s="9">
        <v>454</v>
      </c>
      <c r="I455" s="9" t="s">
        <v>67</v>
      </c>
      <c r="J455" t="str">
        <f t="shared" si="7"/>
        <v>Karolína Vopršalová</v>
      </c>
    </row>
    <row r="456" spans="1:10" ht="14.4" x14ac:dyDescent="0.3">
      <c r="A456" s="9" t="s">
        <v>62</v>
      </c>
      <c r="B456" s="9" t="s">
        <v>996</v>
      </c>
      <c r="C456" s="9" t="s">
        <v>997</v>
      </c>
      <c r="D456" s="10">
        <v>36248</v>
      </c>
      <c r="E456" s="9" t="s">
        <v>998</v>
      </c>
      <c r="F456" s="9" t="s">
        <v>66</v>
      </c>
      <c r="G456" s="9" t="str">
        <f>IF(Table1[[#This Row],[POHLAVI]]="M","Muž", "Žena")</f>
        <v>Muž</v>
      </c>
      <c r="H456" s="9">
        <v>455</v>
      </c>
      <c r="I456" s="9" t="s">
        <v>67</v>
      </c>
      <c r="J456" t="str">
        <f t="shared" si="7"/>
        <v>Radim Zítka</v>
      </c>
    </row>
    <row r="457" spans="1:10" ht="14.4" x14ac:dyDescent="0.3">
      <c r="A457" s="9" t="s">
        <v>768</v>
      </c>
      <c r="B457" s="9" t="s">
        <v>201</v>
      </c>
      <c r="C457" s="9" t="s">
        <v>70</v>
      </c>
      <c r="D457" s="10">
        <v>36158</v>
      </c>
      <c r="E457" s="9" t="s">
        <v>999</v>
      </c>
      <c r="F457" s="9" t="s">
        <v>72</v>
      </c>
      <c r="G457" s="9" t="str">
        <f>IF(Table1[[#This Row],[POHLAVI]]="M","Muž", "Žena")</f>
        <v>Žena</v>
      </c>
      <c r="H457" s="9">
        <v>456</v>
      </c>
      <c r="I457" s="9" t="s">
        <v>67</v>
      </c>
      <c r="J457" t="str">
        <f t="shared" si="7"/>
        <v>Klára Benešová</v>
      </c>
    </row>
    <row r="458" spans="1:10" ht="14.4" x14ac:dyDescent="0.3">
      <c r="A458" s="9" t="s">
        <v>100</v>
      </c>
      <c r="B458" s="9" t="s">
        <v>284</v>
      </c>
      <c r="C458" s="9" t="s">
        <v>70</v>
      </c>
      <c r="D458" s="10">
        <v>36172</v>
      </c>
      <c r="E458" s="9" t="s">
        <v>1000</v>
      </c>
      <c r="F458" s="9" t="s">
        <v>72</v>
      </c>
      <c r="G458" s="9" t="str">
        <f>IF(Table1[[#This Row],[POHLAVI]]="M","Muž", "Žena")</f>
        <v>Žena</v>
      </c>
      <c r="H458" s="9">
        <v>457</v>
      </c>
      <c r="I458" s="9" t="s">
        <v>67</v>
      </c>
      <c r="J458" t="str">
        <f t="shared" si="7"/>
        <v>Barbora Horváthová</v>
      </c>
    </row>
    <row r="459" spans="1:10" ht="14.4" x14ac:dyDescent="0.3">
      <c r="A459" s="9" t="s">
        <v>924</v>
      </c>
      <c r="B459" s="9" t="s">
        <v>1001</v>
      </c>
      <c r="C459" s="9" t="s">
        <v>70</v>
      </c>
      <c r="D459" s="10">
        <v>36105</v>
      </c>
      <c r="E459" s="9" t="s">
        <v>1002</v>
      </c>
      <c r="F459" s="9" t="s">
        <v>72</v>
      </c>
      <c r="G459" s="9" t="str">
        <f>IF(Table1[[#This Row],[POHLAVI]]="M","Muž", "Žena")</f>
        <v>Žena</v>
      </c>
      <c r="H459" s="9">
        <v>458</v>
      </c>
      <c r="I459" s="9" t="s">
        <v>67</v>
      </c>
      <c r="J459" t="str">
        <f t="shared" si="7"/>
        <v>Pavla Jamborová</v>
      </c>
    </row>
    <row r="460" spans="1:10" ht="14.4" x14ac:dyDescent="0.3">
      <c r="A460" s="9" t="s">
        <v>258</v>
      </c>
      <c r="B460" s="9" t="s">
        <v>625</v>
      </c>
      <c r="C460" s="9" t="s">
        <v>70</v>
      </c>
      <c r="D460" s="10">
        <v>36346</v>
      </c>
      <c r="E460" s="9" t="s">
        <v>1003</v>
      </c>
      <c r="F460" s="9" t="s">
        <v>72</v>
      </c>
      <c r="G460" s="9" t="str">
        <f>IF(Table1[[#This Row],[POHLAVI]]="M","Muž", "Žena")</f>
        <v>Žena</v>
      </c>
      <c r="H460" s="9">
        <v>459</v>
      </c>
      <c r="I460" s="9" t="s">
        <v>67</v>
      </c>
      <c r="J460" t="str">
        <f t="shared" si="7"/>
        <v>Karolína Jančíková</v>
      </c>
    </row>
    <row r="461" spans="1:10" ht="14.4" x14ac:dyDescent="0.3">
      <c r="A461" s="9" t="s">
        <v>627</v>
      </c>
      <c r="B461" s="9" t="s">
        <v>1004</v>
      </c>
      <c r="C461" s="9" t="s">
        <v>70</v>
      </c>
      <c r="D461" s="10">
        <v>36384</v>
      </c>
      <c r="E461" s="9" t="s">
        <v>1005</v>
      </c>
      <c r="F461" s="9" t="s">
        <v>66</v>
      </c>
      <c r="G461" s="9" t="str">
        <f>IF(Table1[[#This Row],[POHLAVI]]="M","Muž", "Žena")</f>
        <v>Muž</v>
      </c>
      <c r="H461" s="9">
        <v>460</v>
      </c>
      <c r="I461" s="9" t="s">
        <v>67</v>
      </c>
      <c r="J461" t="str">
        <f t="shared" si="7"/>
        <v>Patrik Jandát</v>
      </c>
    </row>
    <row r="462" spans="1:10" ht="14.4" x14ac:dyDescent="0.3">
      <c r="A462" s="9" t="s">
        <v>114</v>
      </c>
      <c r="B462" s="9" t="s">
        <v>1006</v>
      </c>
      <c r="C462" s="9" t="s">
        <v>70</v>
      </c>
      <c r="D462" s="10">
        <v>36005</v>
      </c>
      <c r="E462" s="9" t="s">
        <v>1007</v>
      </c>
      <c r="F462" s="9" t="s">
        <v>66</v>
      </c>
      <c r="G462" s="9" t="str">
        <f>IF(Table1[[#This Row],[POHLAVI]]="M","Muž", "Žena")</f>
        <v>Muž</v>
      </c>
      <c r="H462" s="9">
        <v>461</v>
      </c>
      <c r="I462" s="9" t="s">
        <v>67</v>
      </c>
      <c r="J462" t="str">
        <f t="shared" si="7"/>
        <v>David Juračka</v>
      </c>
    </row>
    <row r="463" spans="1:10" ht="14.4" x14ac:dyDescent="0.3">
      <c r="A463" s="9" t="s">
        <v>139</v>
      </c>
      <c r="B463" s="9" t="s">
        <v>294</v>
      </c>
      <c r="C463" s="9" t="s">
        <v>70</v>
      </c>
      <c r="D463" s="10">
        <v>35793</v>
      </c>
      <c r="E463" s="9" t="s">
        <v>1008</v>
      </c>
      <c r="F463" s="9" t="s">
        <v>66</v>
      </c>
      <c r="G463" s="9" t="str">
        <f>IF(Table1[[#This Row],[POHLAVI]]="M","Muž", "Žena")</f>
        <v>Muž</v>
      </c>
      <c r="H463" s="9">
        <v>462</v>
      </c>
      <c r="I463" s="9" t="s">
        <v>67</v>
      </c>
      <c r="J463" t="str">
        <f t="shared" si="7"/>
        <v>Josef Kadlec</v>
      </c>
    </row>
    <row r="464" spans="1:10" ht="14.4" x14ac:dyDescent="0.3">
      <c r="A464" s="9" t="s">
        <v>258</v>
      </c>
      <c r="B464" s="9" t="s">
        <v>506</v>
      </c>
      <c r="C464" s="9" t="s">
        <v>601</v>
      </c>
      <c r="D464" s="10">
        <v>35626</v>
      </c>
      <c r="E464" s="9" t="s">
        <v>1009</v>
      </c>
      <c r="F464" s="9" t="s">
        <v>72</v>
      </c>
      <c r="G464" s="9" t="str">
        <f>IF(Table1[[#This Row],[POHLAVI]]="M","Muž", "Žena")</f>
        <v>Žena</v>
      </c>
      <c r="H464" s="9">
        <v>463</v>
      </c>
      <c r="I464" s="9" t="s">
        <v>67</v>
      </c>
      <c r="J464" t="str">
        <f t="shared" si="7"/>
        <v>Karolína Krejčí</v>
      </c>
    </row>
    <row r="465" spans="1:10" ht="14.4" x14ac:dyDescent="0.3">
      <c r="A465" s="9" t="s">
        <v>386</v>
      </c>
      <c r="B465" s="9" t="s">
        <v>1010</v>
      </c>
      <c r="C465" s="9" t="s">
        <v>70</v>
      </c>
      <c r="D465" s="10">
        <v>36035</v>
      </c>
      <c r="E465" s="9" t="s">
        <v>1011</v>
      </c>
      <c r="F465" s="9" t="s">
        <v>66</v>
      </c>
      <c r="G465" s="9" t="str">
        <f>IF(Table1[[#This Row],[POHLAVI]]="M","Muž", "Žena")</f>
        <v>Muž</v>
      </c>
      <c r="H465" s="9">
        <v>464</v>
      </c>
      <c r="I465" s="9" t="s">
        <v>67</v>
      </c>
      <c r="J465" t="str">
        <f t="shared" si="7"/>
        <v>Michal Kyselý</v>
      </c>
    </row>
    <row r="466" spans="1:10" ht="14.4" x14ac:dyDescent="0.3">
      <c r="A466" s="9" t="s">
        <v>870</v>
      </c>
      <c r="B466" s="9" t="s">
        <v>437</v>
      </c>
      <c r="C466" s="9" t="s">
        <v>70</v>
      </c>
      <c r="D466" s="10">
        <v>35633</v>
      </c>
      <c r="E466" s="9" t="s">
        <v>1012</v>
      </c>
      <c r="F466" s="9" t="s">
        <v>72</v>
      </c>
      <c r="G466" s="9" t="str">
        <f>IF(Table1[[#This Row],[POHLAVI]]="M","Muž", "Žena")</f>
        <v>Žena</v>
      </c>
      <c r="H466" s="9">
        <v>465</v>
      </c>
      <c r="I466" s="9" t="s">
        <v>67</v>
      </c>
      <c r="J466" t="str">
        <f t="shared" si="7"/>
        <v>Lenka Lukešová</v>
      </c>
    </row>
    <row r="467" spans="1:10" ht="14.4" x14ac:dyDescent="0.3">
      <c r="A467" s="9" t="s">
        <v>100</v>
      </c>
      <c r="B467" s="9" t="s">
        <v>1013</v>
      </c>
      <c r="C467" s="9" t="s">
        <v>70</v>
      </c>
      <c r="D467" s="10">
        <v>35788</v>
      </c>
      <c r="E467" s="9" t="s">
        <v>1014</v>
      </c>
      <c r="F467" s="9" t="s">
        <v>72</v>
      </c>
      <c r="G467" s="9" t="str">
        <f>IF(Table1[[#This Row],[POHLAVI]]="M","Muž", "Žena")</f>
        <v>Žena</v>
      </c>
      <c r="H467" s="9">
        <v>466</v>
      </c>
      <c r="I467" s="9" t="s">
        <v>67</v>
      </c>
      <c r="J467" t="str">
        <f t="shared" si="7"/>
        <v>Barbora Macháčková</v>
      </c>
    </row>
    <row r="468" spans="1:10" ht="14.4" x14ac:dyDescent="0.3">
      <c r="A468" s="9" t="s">
        <v>579</v>
      </c>
      <c r="B468" s="9" t="s">
        <v>1015</v>
      </c>
      <c r="C468" s="9" t="s">
        <v>70</v>
      </c>
      <c r="D468" s="10">
        <v>35942</v>
      </c>
      <c r="E468" s="9" t="s">
        <v>1016</v>
      </c>
      <c r="F468" s="9" t="s">
        <v>66</v>
      </c>
      <c r="G468" s="9" t="str">
        <f>IF(Table1[[#This Row],[POHLAVI]]="M","Muž", "Žena")</f>
        <v>Muž</v>
      </c>
      <c r="H468" s="9">
        <v>467</v>
      </c>
      <c r="I468" s="9" t="s">
        <v>67</v>
      </c>
      <c r="J468" t="str">
        <f t="shared" si="7"/>
        <v>František Ondráček</v>
      </c>
    </row>
    <row r="469" spans="1:10" ht="14.4" x14ac:dyDescent="0.3">
      <c r="A469" s="9" t="s">
        <v>148</v>
      </c>
      <c r="B469" s="9" t="s">
        <v>1017</v>
      </c>
      <c r="C469" s="9" t="s">
        <v>70</v>
      </c>
      <c r="D469" s="10">
        <v>35714</v>
      </c>
      <c r="E469" s="9" t="s">
        <v>1018</v>
      </c>
      <c r="F469" s="9" t="s">
        <v>66</v>
      </c>
      <c r="G469" s="9" t="str">
        <f>IF(Table1[[#This Row],[POHLAVI]]="M","Muž", "Žena")</f>
        <v>Muž</v>
      </c>
      <c r="H469" s="9">
        <v>468</v>
      </c>
      <c r="I469" s="9" t="s">
        <v>67</v>
      </c>
      <c r="J469" t="str">
        <f t="shared" si="7"/>
        <v>Daniel Pejcha</v>
      </c>
    </row>
    <row r="470" spans="1:10" ht="14.4" x14ac:dyDescent="0.3">
      <c r="A470" s="9" t="s">
        <v>151</v>
      </c>
      <c r="B470" s="9" t="s">
        <v>1019</v>
      </c>
      <c r="C470" s="9" t="s">
        <v>275</v>
      </c>
      <c r="D470" s="10">
        <v>35486</v>
      </c>
      <c r="E470" s="9" t="s">
        <v>1020</v>
      </c>
      <c r="F470" s="9" t="s">
        <v>66</v>
      </c>
      <c r="G470" s="9" t="str">
        <f>IF(Table1[[#This Row],[POHLAVI]]="M","Muž", "Žena")</f>
        <v>Muž</v>
      </c>
      <c r="H470" s="9">
        <v>469</v>
      </c>
      <c r="I470" s="9" t="s">
        <v>67</v>
      </c>
      <c r="J470" t="str">
        <f t="shared" si="7"/>
        <v>Petr Prášil</v>
      </c>
    </row>
    <row r="471" spans="1:10" ht="14.4" x14ac:dyDescent="0.3">
      <c r="A471" s="9" t="s">
        <v>288</v>
      </c>
      <c r="B471" s="9" t="s">
        <v>112</v>
      </c>
      <c r="C471" s="9" t="s">
        <v>70</v>
      </c>
      <c r="D471" s="10">
        <v>35929</v>
      </c>
      <c r="E471" s="9" t="s">
        <v>1021</v>
      </c>
      <c r="F471" s="9" t="s">
        <v>66</v>
      </c>
      <c r="G471" s="9" t="str">
        <f>IF(Table1[[#This Row],[POHLAVI]]="M","Muž", "Žena")</f>
        <v>Muž</v>
      </c>
      <c r="H471" s="9">
        <v>470</v>
      </c>
      <c r="I471" s="9" t="s">
        <v>67</v>
      </c>
      <c r="J471" t="str">
        <f t="shared" si="7"/>
        <v>Filip Sivák</v>
      </c>
    </row>
    <row r="472" spans="1:10" ht="14.4" x14ac:dyDescent="0.3">
      <c r="A472" s="9" t="s">
        <v>1022</v>
      </c>
      <c r="B472" s="9" t="s">
        <v>897</v>
      </c>
      <c r="C472" s="9" t="s">
        <v>70</v>
      </c>
      <c r="D472" s="10">
        <v>35627</v>
      </c>
      <c r="E472" s="9" t="s">
        <v>1023</v>
      </c>
      <c r="F472" s="9" t="s">
        <v>72</v>
      </c>
      <c r="G472" s="9" t="str">
        <f>IF(Table1[[#This Row],[POHLAVI]]="M","Muž", "Žena")</f>
        <v>Žena</v>
      </c>
      <c r="H472" s="9">
        <v>471</v>
      </c>
      <c r="I472" s="9" t="s">
        <v>67</v>
      </c>
      <c r="J472" t="str">
        <f t="shared" si="7"/>
        <v>Renáta Sobotková</v>
      </c>
    </row>
    <row r="473" spans="1:10" ht="14.4" x14ac:dyDescent="0.3">
      <c r="A473" s="9" t="s">
        <v>148</v>
      </c>
      <c r="B473" s="9" t="s">
        <v>482</v>
      </c>
      <c r="C473" s="9" t="s">
        <v>70</v>
      </c>
      <c r="D473" s="10">
        <v>35874</v>
      </c>
      <c r="E473" s="9" t="s">
        <v>1024</v>
      </c>
      <c r="F473" s="9" t="s">
        <v>66</v>
      </c>
      <c r="G473" s="9" t="str">
        <f>IF(Table1[[#This Row],[POHLAVI]]="M","Muž", "Žena")</f>
        <v>Muž</v>
      </c>
      <c r="H473" s="9">
        <v>472</v>
      </c>
      <c r="I473" s="9" t="s">
        <v>67</v>
      </c>
      <c r="J473" t="str">
        <f t="shared" si="7"/>
        <v>Daniel Srnský</v>
      </c>
    </row>
    <row r="474" spans="1:10" ht="14.4" x14ac:dyDescent="0.3">
      <c r="A474" s="9" t="s">
        <v>709</v>
      </c>
      <c r="B474" s="9" t="s">
        <v>1025</v>
      </c>
      <c r="C474" s="9" t="s">
        <v>70</v>
      </c>
      <c r="D474" s="10">
        <v>35798</v>
      </c>
      <c r="E474" s="9" t="s">
        <v>1026</v>
      </c>
      <c r="F474" s="9" t="s">
        <v>66</v>
      </c>
      <c r="G474" s="9" t="str">
        <f>IF(Table1[[#This Row],[POHLAVI]]="M","Muž", "Žena")</f>
        <v>Muž</v>
      </c>
      <c r="H474" s="9">
        <v>473</v>
      </c>
      <c r="I474" s="9" t="s">
        <v>67</v>
      </c>
      <c r="J474" t="str">
        <f t="shared" si="7"/>
        <v>Libor Staněk</v>
      </c>
    </row>
    <row r="475" spans="1:10" ht="14.4" x14ac:dyDescent="0.3">
      <c r="A475" s="9" t="s">
        <v>136</v>
      </c>
      <c r="B475" s="9" t="s">
        <v>1027</v>
      </c>
      <c r="C475" s="9" t="s">
        <v>70</v>
      </c>
      <c r="D475" s="10">
        <v>35497</v>
      </c>
      <c r="E475" s="9" t="s">
        <v>1028</v>
      </c>
      <c r="F475" s="9" t="s">
        <v>66</v>
      </c>
      <c r="G475" s="9" t="str">
        <f>IF(Table1[[#This Row],[POHLAVI]]="M","Muž", "Žena")</f>
        <v>Muž</v>
      </c>
      <c r="H475" s="9">
        <v>474</v>
      </c>
      <c r="I475" s="9" t="s">
        <v>80</v>
      </c>
      <c r="J475" t="str">
        <f t="shared" si="7"/>
        <v>Jan Šiška</v>
      </c>
    </row>
    <row r="476" spans="1:10" ht="14.4" x14ac:dyDescent="0.3">
      <c r="A476" s="9" t="s">
        <v>151</v>
      </c>
      <c r="B476" s="9" t="s">
        <v>1029</v>
      </c>
      <c r="C476" s="9" t="s">
        <v>70</v>
      </c>
      <c r="D476" s="10">
        <v>35761</v>
      </c>
      <c r="E476" s="9" t="s">
        <v>1030</v>
      </c>
      <c r="F476" s="9" t="s">
        <v>66</v>
      </c>
      <c r="G476" s="9" t="str">
        <f>IF(Table1[[#This Row],[POHLAVI]]="M","Muž", "Žena")</f>
        <v>Muž</v>
      </c>
      <c r="H476" s="9">
        <v>475</v>
      </c>
      <c r="I476" s="9" t="s">
        <v>67</v>
      </c>
      <c r="J476" t="str">
        <f t="shared" si="7"/>
        <v>Petr Šmída</v>
      </c>
    </row>
    <row r="477" spans="1:10" ht="14.4" x14ac:dyDescent="0.3">
      <c r="A477" s="9" t="s">
        <v>77</v>
      </c>
      <c r="B477" s="9" t="s">
        <v>605</v>
      </c>
      <c r="C477" s="9" t="s">
        <v>75</v>
      </c>
      <c r="D477" s="10">
        <v>35729</v>
      </c>
      <c r="E477" s="9" t="s">
        <v>1031</v>
      </c>
      <c r="F477" s="9" t="s">
        <v>66</v>
      </c>
      <c r="G477" s="9" t="str">
        <f>IF(Table1[[#This Row],[POHLAVI]]="M","Muž", "Žena")</f>
        <v>Muž</v>
      </c>
      <c r="H477" s="9">
        <v>476</v>
      </c>
      <c r="I477" s="9" t="s">
        <v>91</v>
      </c>
      <c r="J477" t="str">
        <f t="shared" si="7"/>
        <v>Tomáš Tulis</v>
      </c>
    </row>
    <row r="478" spans="1:10" ht="14.4" x14ac:dyDescent="0.3">
      <c r="A478" s="9" t="s">
        <v>979</v>
      </c>
      <c r="B478" s="9" t="s">
        <v>1032</v>
      </c>
      <c r="C478" s="9" t="s">
        <v>70</v>
      </c>
      <c r="D478" s="10">
        <v>35735</v>
      </c>
      <c r="E478" s="9" t="s">
        <v>1033</v>
      </c>
      <c r="F478" s="9" t="s">
        <v>66</v>
      </c>
      <c r="G478" s="9" t="str">
        <f>IF(Table1[[#This Row],[POHLAVI]]="M","Muž", "Žena")</f>
        <v>Muž</v>
      </c>
      <c r="H478" s="9">
        <v>477</v>
      </c>
      <c r="I478" s="9" t="s">
        <v>67</v>
      </c>
      <c r="J478" t="str">
        <f t="shared" si="7"/>
        <v>Vladimír Tvarůžek</v>
      </c>
    </row>
    <row r="479" spans="1:10" ht="14.4" x14ac:dyDescent="0.3">
      <c r="A479" s="9" t="s">
        <v>159</v>
      </c>
      <c r="B479" s="9" t="s">
        <v>723</v>
      </c>
      <c r="C479" s="9" t="s">
        <v>601</v>
      </c>
      <c r="D479" s="10">
        <v>35832</v>
      </c>
      <c r="E479" s="9" t="s">
        <v>1034</v>
      </c>
      <c r="F479" s="9" t="s">
        <v>66</v>
      </c>
      <c r="G479" s="9" t="str">
        <f>IF(Table1[[#This Row],[POHLAVI]]="M","Muž", "Žena")</f>
        <v>Muž</v>
      </c>
      <c r="H479" s="9">
        <v>478</v>
      </c>
      <c r="I479" s="9" t="s">
        <v>67</v>
      </c>
      <c r="J479" t="str">
        <f t="shared" si="7"/>
        <v>Václav Vítek</v>
      </c>
    </row>
    <row r="480" spans="1:10" ht="14.4" x14ac:dyDescent="0.3">
      <c r="A480" s="9" t="s">
        <v>572</v>
      </c>
      <c r="B480" s="9" t="s">
        <v>1035</v>
      </c>
      <c r="C480" s="9" t="s">
        <v>70</v>
      </c>
      <c r="D480" s="10">
        <v>35702</v>
      </c>
      <c r="E480" s="9" t="s">
        <v>1036</v>
      </c>
      <c r="F480" s="9" t="s">
        <v>72</v>
      </c>
      <c r="G480" s="9" t="str">
        <f>IF(Table1[[#This Row],[POHLAVI]]="M","Muž", "Žena")</f>
        <v>Žena</v>
      </c>
      <c r="H480" s="9">
        <v>479</v>
      </c>
      <c r="I480" s="9" t="s">
        <v>67</v>
      </c>
      <c r="J480" t="str">
        <f t="shared" si="7"/>
        <v>Kristýna Vrátná</v>
      </c>
    </row>
    <row r="481" spans="1:10" ht="14.4" x14ac:dyDescent="0.3">
      <c r="A481" s="9" t="s">
        <v>288</v>
      </c>
      <c r="B481" s="9" t="s">
        <v>392</v>
      </c>
      <c r="C481" s="9" t="s">
        <v>75</v>
      </c>
      <c r="D481" s="10">
        <v>35934</v>
      </c>
      <c r="E481" s="9" t="s">
        <v>1037</v>
      </c>
      <c r="F481" s="9" t="s">
        <v>66</v>
      </c>
      <c r="G481" s="9" t="str">
        <f>IF(Table1[[#This Row],[POHLAVI]]="M","Muž", "Žena")</f>
        <v>Muž</v>
      </c>
      <c r="H481" s="9">
        <v>480</v>
      </c>
      <c r="I481" s="9" t="s">
        <v>117</v>
      </c>
      <c r="J481" t="str">
        <f t="shared" si="7"/>
        <v>Filip Černý</v>
      </c>
    </row>
    <row r="482" spans="1:10" ht="14.4" x14ac:dyDescent="0.3">
      <c r="A482" s="9" t="s">
        <v>627</v>
      </c>
      <c r="B482" s="9" t="s">
        <v>392</v>
      </c>
      <c r="C482" s="9" t="s">
        <v>70</v>
      </c>
      <c r="D482" s="10">
        <v>35832</v>
      </c>
      <c r="E482" s="9" t="s">
        <v>1038</v>
      </c>
      <c r="F482" s="9" t="s">
        <v>66</v>
      </c>
      <c r="G482" s="9" t="str">
        <f>IF(Table1[[#This Row],[POHLAVI]]="M","Muž", "Žena")</f>
        <v>Muž</v>
      </c>
      <c r="H482" s="9">
        <v>481</v>
      </c>
      <c r="I482" s="9" t="s">
        <v>67</v>
      </c>
      <c r="J482" t="str">
        <f t="shared" si="7"/>
        <v>Patrik Černý</v>
      </c>
    </row>
    <row r="483" spans="1:10" ht="14.4" x14ac:dyDescent="0.3">
      <c r="A483" s="9" t="s">
        <v>203</v>
      </c>
      <c r="B483" s="9" t="s">
        <v>556</v>
      </c>
      <c r="C483" s="9" t="s">
        <v>70</v>
      </c>
      <c r="D483" s="10">
        <v>35646</v>
      </c>
      <c r="E483" s="9" t="s">
        <v>1039</v>
      </c>
      <c r="F483" s="9" t="s">
        <v>72</v>
      </c>
      <c r="G483" s="9" t="str">
        <f>IF(Table1[[#This Row],[POHLAVI]]="M","Muž", "Žena")</f>
        <v>Žena</v>
      </c>
      <c r="H483" s="9">
        <v>482</v>
      </c>
      <c r="I483" s="9" t="s">
        <v>67</v>
      </c>
      <c r="J483" t="str">
        <f t="shared" si="7"/>
        <v>Veronika Dítětová</v>
      </c>
    </row>
    <row r="484" spans="1:10" ht="14.4" x14ac:dyDescent="0.3">
      <c r="A484" s="9" t="s">
        <v>436</v>
      </c>
      <c r="B484" s="9" t="s">
        <v>940</v>
      </c>
      <c r="C484" s="9" t="s">
        <v>70</v>
      </c>
      <c r="D484" s="10">
        <v>35772</v>
      </c>
      <c r="E484" s="9" t="s">
        <v>1040</v>
      </c>
      <c r="F484" s="9" t="s">
        <v>72</v>
      </c>
      <c r="G484" s="9" t="str">
        <f>IF(Table1[[#This Row],[POHLAVI]]="M","Muž", "Žena")</f>
        <v>Žena</v>
      </c>
      <c r="H484" s="9">
        <v>483</v>
      </c>
      <c r="I484" s="9" t="s">
        <v>67</v>
      </c>
      <c r="J484" t="str">
        <f t="shared" si="7"/>
        <v>Lucie Dostálová</v>
      </c>
    </row>
    <row r="485" spans="1:10" ht="14.4" x14ac:dyDescent="0.3">
      <c r="A485" s="9" t="s">
        <v>318</v>
      </c>
      <c r="B485" s="9" t="s">
        <v>1041</v>
      </c>
      <c r="C485" s="9" t="s">
        <v>70</v>
      </c>
      <c r="D485" s="10">
        <v>35925</v>
      </c>
      <c r="E485" s="9" t="s">
        <v>1042</v>
      </c>
      <c r="F485" s="9" t="s">
        <v>72</v>
      </c>
      <c r="G485" s="9" t="str">
        <f>IF(Table1[[#This Row],[POHLAVI]]="M","Muž", "Žena")</f>
        <v>Žena</v>
      </c>
      <c r="H485" s="9">
        <v>484</v>
      </c>
      <c r="I485" s="9" t="s">
        <v>67</v>
      </c>
      <c r="J485" t="str">
        <f t="shared" si="7"/>
        <v>Hana Drdlová</v>
      </c>
    </row>
    <row r="486" spans="1:10" ht="14.4" x14ac:dyDescent="0.3">
      <c r="A486" s="9" t="s">
        <v>436</v>
      </c>
      <c r="B486" s="9" t="s">
        <v>1043</v>
      </c>
      <c r="C486" s="9" t="s">
        <v>70</v>
      </c>
      <c r="D486" s="10">
        <v>35954</v>
      </c>
      <c r="E486" s="9" t="s">
        <v>1044</v>
      </c>
      <c r="F486" s="9" t="s">
        <v>72</v>
      </c>
      <c r="G486" s="9" t="str">
        <f>IF(Table1[[#This Row],[POHLAVI]]="M","Muž", "Žena")</f>
        <v>Žena</v>
      </c>
      <c r="H486" s="9">
        <v>485</v>
      </c>
      <c r="I486" s="9" t="s">
        <v>67</v>
      </c>
      <c r="J486" t="str">
        <f t="shared" si="7"/>
        <v>Lucie Havránková</v>
      </c>
    </row>
    <row r="487" spans="1:10" ht="14.4" x14ac:dyDescent="0.3">
      <c r="A487" s="9" t="s">
        <v>582</v>
      </c>
      <c r="B487" s="9" t="s">
        <v>1045</v>
      </c>
      <c r="C487" s="9" t="s">
        <v>64</v>
      </c>
      <c r="D487" s="10">
        <v>36000</v>
      </c>
      <c r="E487" s="9" t="s">
        <v>1046</v>
      </c>
      <c r="F487" s="9" t="s">
        <v>72</v>
      </c>
      <c r="G487" s="9" t="str">
        <f>IF(Table1[[#This Row],[POHLAVI]]="M","Muž", "Žena")</f>
        <v>Žena</v>
      </c>
      <c r="H487" s="9">
        <v>486</v>
      </c>
      <c r="I487" s="9" t="s">
        <v>67</v>
      </c>
      <c r="J487" t="str">
        <f t="shared" si="7"/>
        <v>Iveta Henychová</v>
      </c>
    </row>
    <row r="488" spans="1:10" ht="14.4" x14ac:dyDescent="0.3">
      <c r="A488" s="9" t="s">
        <v>136</v>
      </c>
      <c r="B488" s="9" t="s">
        <v>1047</v>
      </c>
      <c r="C488" s="9" t="s">
        <v>75</v>
      </c>
      <c r="D488" s="10">
        <v>35943</v>
      </c>
      <c r="E488" s="9" t="s">
        <v>1048</v>
      </c>
      <c r="F488" s="9" t="s">
        <v>66</v>
      </c>
      <c r="G488" s="9" t="str">
        <f>IF(Table1[[#This Row],[POHLAVI]]="M","Muž", "Žena")</f>
        <v>Muž</v>
      </c>
      <c r="H488" s="9">
        <v>487</v>
      </c>
      <c r="I488" s="9" t="s">
        <v>67</v>
      </c>
      <c r="J488" t="str">
        <f t="shared" si="7"/>
        <v>Jan Holcman</v>
      </c>
    </row>
    <row r="489" spans="1:10" ht="14.4" x14ac:dyDescent="0.3">
      <c r="A489" s="9" t="s">
        <v>127</v>
      </c>
      <c r="B489" s="9" t="s">
        <v>1049</v>
      </c>
      <c r="C489" s="9" t="s">
        <v>807</v>
      </c>
      <c r="D489" s="10">
        <v>35871</v>
      </c>
      <c r="E489" s="9" t="s">
        <v>1050</v>
      </c>
      <c r="F489" s="9" t="s">
        <v>66</v>
      </c>
      <c r="G489" s="9" t="str">
        <f>IF(Table1[[#This Row],[POHLAVI]]="M","Muž", "Žena")</f>
        <v>Muž</v>
      </c>
      <c r="H489" s="9">
        <v>488</v>
      </c>
      <c r="I489" s="9" t="s">
        <v>67</v>
      </c>
      <c r="J489" t="str">
        <f t="shared" si="7"/>
        <v>Martin Hubl</v>
      </c>
    </row>
    <row r="490" spans="1:10" ht="14.4" x14ac:dyDescent="0.3">
      <c r="A490" s="9" t="s">
        <v>148</v>
      </c>
      <c r="B490" s="9" t="s">
        <v>1051</v>
      </c>
      <c r="C490" s="9" t="s">
        <v>70</v>
      </c>
      <c r="D490" s="10">
        <v>35719</v>
      </c>
      <c r="E490" s="9" t="s">
        <v>1052</v>
      </c>
      <c r="F490" s="9" t="s">
        <v>66</v>
      </c>
      <c r="G490" s="9" t="str">
        <f>IF(Table1[[#This Row],[POHLAVI]]="M","Muž", "Žena")</f>
        <v>Muž</v>
      </c>
      <c r="H490" s="9">
        <v>489</v>
      </c>
      <c r="I490" s="9" t="s">
        <v>67</v>
      </c>
      <c r="J490" t="str">
        <f t="shared" si="7"/>
        <v>Daniel Janeba</v>
      </c>
    </row>
    <row r="491" spans="1:10" ht="14.4" x14ac:dyDescent="0.3">
      <c r="A491" s="9" t="s">
        <v>236</v>
      </c>
      <c r="B491" s="9" t="s">
        <v>1053</v>
      </c>
      <c r="C491" s="9" t="s">
        <v>70</v>
      </c>
      <c r="D491" s="10">
        <v>35997</v>
      </c>
      <c r="E491" s="9" t="s">
        <v>1054</v>
      </c>
      <c r="F491" s="9" t="s">
        <v>66</v>
      </c>
      <c r="G491" s="9" t="str">
        <f>IF(Table1[[#This Row],[POHLAVI]]="M","Muž", "Žena")</f>
        <v>Muž</v>
      </c>
      <c r="H491" s="9">
        <v>490</v>
      </c>
      <c r="I491" s="9" t="s">
        <v>67</v>
      </c>
      <c r="J491" t="str">
        <f t="shared" si="7"/>
        <v>Jaroslav Janíček</v>
      </c>
    </row>
    <row r="492" spans="1:10" ht="14.4" x14ac:dyDescent="0.3">
      <c r="A492" s="9" t="s">
        <v>159</v>
      </c>
      <c r="B492" s="9" t="s">
        <v>82</v>
      </c>
      <c r="C492" s="9" t="s">
        <v>70</v>
      </c>
      <c r="D492" s="10">
        <v>35908</v>
      </c>
      <c r="E492" s="9" t="s">
        <v>1055</v>
      </c>
      <c r="F492" s="9" t="s">
        <v>66</v>
      </c>
      <c r="G492" s="9" t="str">
        <f>IF(Table1[[#This Row],[POHLAVI]]="M","Muž", "Žena")</f>
        <v>Muž</v>
      </c>
      <c r="H492" s="9">
        <v>491</v>
      </c>
      <c r="I492" s="9" t="s">
        <v>117</v>
      </c>
      <c r="J492" t="str">
        <f t="shared" si="7"/>
        <v>Václav Janů</v>
      </c>
    </row>
    <row r="493" spans="1:10" ht="14.4" x14ac:dyDescent="0.3">
      <c r="A493" s="9" t="s">
        <v>619</v>
      </c>
      <c r="B493" s="9" t="s">
        <v>412</v>
      </c>
      <c r="C493" s="9" t="s">
        <v>64</v>
      </c>
      <c r="D493" s="10">
        <v>35882</v>
      </c>
      <c r="E493" s="9" t="s">
        <v>1056</v>
      </c>
      <c r="F493" s="9" t="s">
        <v>72</v>
      </c>
      <c r="G493" s="9" t="str">
        <f>IF(Table1[[#This Row],[POHLAVI]]="M","Muž", "Žena")</f>
        <v>Žena</v>
      </c>
      <c r="H493" s="9">
        <v>492</v>
      </c>
      <c r="I493" s="9" t="s">
        <v>67</v>
      </c>
      <c r="J493" t="str">
        <f t="shared" si="7"/>
        <v>Radka Košíková</v>
      </c>
    </row>
    <row r="494" spans="1:10" ht="14.4" x14ac:dyDescent="0.3">
      <c r="A494" s="9" t="s">
        <v>114</v>
      </c>
      <c r="B494" s="9" t="s">
        <v>506</v>
      </c>
      <c r="C494" s="9" t="s">
        <v>70</v>
      </c>
      <c r="D494" s="10">
        <v>35912</v>
      </c>
      <c r="E494" s="9" t="s">
        <v>1057</v>
      </c>
      <c r="F494" s="9" t="s">
        <v>66</v>
      </c>
      <c r="G494" s="9" t="str">
        <f>IF(Table1[[#This Row],[POHLAVI]]="M","Muž", "Žena")</f>
        <v>Muž</v>
      </c>
      <c r="H494" s="9">
        <v>493</v>
      </c>
      <c r="I494" s="9" t="s">
        <v>67</v>
      </c>
      <c r="J494" t="str">
        <f t="shared" si="7"/>
        <v>David Krejčí</v>
      </c>
    </row>
    <row r="495" spans="1:10" ht="14.4" x14ac:dyDescent="0.3">
      <c r="A495" s="9" t="s">
        <v>381</v>
      </c>
      <c r="B495" s="9" t="s">
        <v>1058</v>
      </c>
      <c r="C495" s="9" t="s">
        <v>70</v>
      </c>
      <c r="D495" s="10">
        <v>35644</v>
      </c>
      <c r="E495" s="9" t="s">
        <v>1059</v>
      </c>
      <c r="F495" s="9" t="s">
        <v>72</v>
      </c>
      <c r="G495" s="9" t="str">
        <f>IF(Table1[[#This Row],[POHLAVI]]="M","Muž", "Žena")</f>
        <v>Žena</v>
      </c>
      <c r="H495" s="9">
        <v>494</v>
      </c>
      <c r="I495" s="9" t="s">
        <v>67</v>
      </c>
      <c r="J495" t="str">
        <f t="shared" si="7"/>
        <v>Dominika Křivánková</v>
      </c>
    </row>
    <row r="496" spans="1:10" ht="14.4" x14ac:dyDescent="0.3">
      <c r="A496" s="9" t="s">
        <v>77</v>
      </c>
      <c r="B496" s="9" t="s">
        <v>797</v>
      </c>
      <c r="C496" s="9" t="s">
        <v>70</v>
      </c>
      <c r="D496" s="10">
        <v>35763</v>
      </c>
      <c r="E496" s="9" t="s">
        <v>1060</v>
      </c>
      <c r="F496" s="9" t="s">
        <v>66</v>
      </c>
      <c r="G496" s="9" t="str">
        <f>IF(Table1[[#This Row],[POHLAVI]]="M","Muž", "Žena")</f>
        <v>Muž</v>
      </c>
      <c r="H496" s="9">
        <v>495</v>
      </c>
      <c r="I496" s="9" t="s">
        <v>67</v>
      </c>
      <c r="J496" t="str">
        <f t="shared" si="7"/>
        <v>Tomáš Laštovička</v>
      </c>
    </row>
    <row r="497" spans="1:10" ht="14.4" x14ac:dyDescent="0.3">
      <c r="A497" s="9" t="s">
        <v>186</v>
      </c>
      <c r="B497" s="9" t="s">
        <v>1061</v>
      </c>
      <c r="C497" s="9" t="s">
        <v>70</v>
      </c>
      <c r="D497" s="10">
        <v>35521</v>
      </c>
      <c r="E497" s="9" t="s">
        <v>1062</v>
      </c>
      <c r="F497" s="9" t="s">
        <v>72</v>
      </c>
      <c r="G497" s="9" t="str">
        <f>IF(Table1[[#This Row],[POHLAVI]]="M","Muž", "Žena")</f>
        <v>Žena</v>
      </c>
      <c r="H497" s="9">
        <v>496</v>
      </c>
      <c r="I497" s="9" t="s">
        <v>67</v>
      </c>
      <c r="J497" t="str">
        <f t="shared" si="7"/>
        <v>Kateřina Okurková</v>
      </c>
    </row>
    <row r="498" spans="1:10" ht="14.4" x14ac:dyDescent="0.3">
      <c r="A498" s="9" t="s">
        <v>84</v>
      </c>
      <c r="B498" s="9" t="s">
        <v>1063</v>
      </c>
      <c r="C498" s="9" t="s">
        <v>75</v>
      </c>
      <c r="D498" s="10">
        <v>35798</v>
      </c>
      <c r="E498" s="9" t="s">
        <v>1064</v>
      </c>
      <c r="F498" s="9" t="s">
        <v>66</v>
      </c>
      <c r="G498" s="9" t="str">
        <f>IF(Table1[[#This Row],[POHLAVI]]="M","Muž", "Žena")</f>
        <v>Muž</v>
      </c>
      <c r="H498" s="9">
        <v>497</v>
      </c>
      <c r="I498" s="9" t="s">
        <v>67</v>
      </c>
      <c r="J498" t="str">
        <f t="shared" si="7"/>
        <v>Zdeněk Pliska</v>
      </c>
    </row>
    <row r="499" spans="1:10" ht="14.4" x14ac:dyDescent="0.3">
      <c r="A499" s="9" t="s">
        <v>870</v>
      </c>
      <c r="B499" s="9" t="s">
        <v>1065</v>
      </c>
      <c r="C499" s="9" t="s">
        <v>70</v>
      </c>
      <c r="D499" s="10">
        <v>35702</v>
      </c>
      <c r="E499" s="9" t="s">
        <v>1066</v>
      </c>
      <c r="F499" s="9" t="s">
        <v>72</v>
      </c>
      <c r="G499" s="9" t="str">
        <f>IF(Table1[[#This Row],[POHLAVI]]="M","Muž", "Žena")</f>
        <v>Žena</v>
      </c>
      <c r="H499" s="9">
        <v>498</v>
      </c>
      <c r="I499" s="9" t="s">
        <v>67</v>
      </c>
      <c r="J499" t="str">
        <f t="shared" si="7"/>
        <v>Lenka Pohanková</v>
      </c>
    </row>
    <row r="500" spans="1:10" ht="14.4" x14ac:dyDescent="0.3">
      <c r="A500" s="9" t="s">
        <v>339</v>
      </c>
      <c r="B500" s="9" t="s">
        <v>1067</v>
      </c>
      <c r="C500" s="9" t="s">
        <v>70</v>
      </c>
      <c r="D500" s="10">
        <v>35696</v>
      </c>
      <c r="E500" s="9" t="s">
        <v>1068</v>
      </c>
      <c r="F500" s="9" t="s">
        <v>72</v>
      </c>
      <c r="G500" s="9" t="str">
        <f>IF(Table1[[#This Row],[POHLAVI]]="M","Muž", "Žena")</f>
        <v>Žena</v>
      </c>
      <c r="H500" s="9">
        <v>499</v>
      </c>
      <c r="I500" s="9" t="s">
        <v>67</v>
      </c>
      <c r="J500" t="str">
        <f t="shared" si="7"/>
        <v>Vendula Snášelová</v>
      </c>
    </row>
    <row r="501" spans="1:10" ht="14.4" x14ac:dyDescent="0.3">
      <c r="A501" s="9" t="s">
        <v>833</v>
      </c>
      <c r="B501" s="9" t="s">
        <v>1069</v>
      </c>
      <c r="C501" s="9" t="s">
        <v>70</v>
      </c>
      <c r="D501" s="10">
        <v>35791</v>
      </c>
      <c r="E501" s="9" t="s">
        <v>1070</v>
      </c>
      <c r="F501" s="9" t="s">
        <v>72</v>
      </c>
      <c r="G501" s="9" t="str">
        <f>IF(Table1[[#This Row],[POHLAVI]]="M","Muž", "Žena")</f>
        <v>Žena</v>
      </c>
      <c r="H501" s="9">
        <v>500</v>
      </c>
      <c r="I501" s="9" t="s">
        <v>67</v>
      </c>
      <c r="J501" t="str">
        <f t="shared" si="7"/>
        <v>Ivana Stará</v>
      </c>
    </row>
    <row r="502" spans="1:10" ht="14.4" x14ac:dyDescent="0.3">
      <c r="A502" s="9" t="s">
        <v>159</v>
      </c>
      <c r="B502" s="9" t="s">
        <v>125</v>
      </c>
      <c r="C502" s="9" t="s">
        <v>70</v>
      </c>
      <c r="D502" s="10">
        <v>35848</v>
      </c>
      <c r="E502" s="9" t="s">
        <v>1071</v>
      </c>
      <c r="F502" s="9" t="s">
        <v>66</v>
      </c>
      <c r="G502" s="9" t="str">
        <f>IF(Table1[[#This Row],[POHLAVI]]="M","Muž", "Žena")</f>
        <v>Muž</v>
      </c>
      <c r="H502" s="9">
        <v>501</v>
      </c>
      <c r="I502" s="9" t="s">
        <v>67</v>
      </c>
      <c r="J502" t="str">
        <f t="shared" si="7"/>
        <v>Václav Šebek</v>
      </c>
    </row>
    <row r="503" spans="1:10" ht="14.4" x14ac:dyDescent="0.3">
      <c r="A503" s="9" t="s">
        <v>77</v>
      </c>
      <c r="B503" s="9" t="s">
        <v>1072</v>
      </c>
      <c r="C503" s="9" t="s">
        <v>70</v>
      </c>
      <c r="D503" s="10">
        <v>35655</v>
      </c>
      <c r="E503" s="9" t="s">
        <v>1073</v>
      </c>
      <c r="F503" s="9" t="s">
        <v>66</v>
      </c>
      <c r="G503" s="9" t="str">
        <f>IF(Table1[[#This Row],[POHLAVI]]="M","Muž", "Žena")</f>
        <v>Muž</v>
      </c>
      <c r="H503" s="9">
        <v>502</v>
      </c>
      <c r="I503" s="9" t="s">
        <v>67</v>
      </c>
      <c r="J503" t="str">
        <f t="shared" si="7"/>
        <v>Tomáš Štarha</v>
      </c>
    </row>
    <row r="504" spans="1:10" ht="14.4" x14ac:dyDescent="0.3">
      <c r="A504" s="9" t="s">
        <v>461</v>
      </c>
      <c r="B504" s="9" t="s">
        <v>1074</v>
      </c>
      <c r="C504" s="9" t="s">
        <v>75</v>
      </c>
      <c r="D504" s="10">
        <v>35621</v>
      </c>
      <c r="E504" s="9" t="s">
        <v>1075</v>
      </c>
      <c r="F504" s="9" t="s">
        <v>72</v>
      </c>
      <c r="G504" s="9" t="str">
        <f>IF(Table1[[#This Row],[POHLAVI]]="M","Muž", "Žena")</f>
        <v>Žena</v>
      </c>
      <c r="H504" s="9">
        <v>503</v>
      </c>
      <c r="I504" s="9" t="s">
        <v>67</v>
      </c>
      <c r="J504" t="str">
        <f t="shared" si="7"/>
        <v>Leona Vedmochová</v>
      </c>
    </row>
    <row r="505" spans="1:10" ht="14.4" x14ac:dyDescent="0.3">
      <c r="A505" s="9" t="s">
        <v>255</v>
      </c>
      <c r="B505" s="9" t="s">
        <v>1076</v>
      </c>
      <c r="C505" s="9" t="s">
        <v>70</v>
      </c>
      <c r="D505" s="10">
        <v>35698</v>
      </c>
      <c r="E505" s="9" t="s">
        <v>1077</v>
      </c>
      <c r="F505" s="9" t="s">
        <v>72</v>
      </c>
      <c r="G505" s="9" t="str">
        <f>IF(Table1[[#This Row],[POHLAVI]]="M","Muž", "Žena")</f>
        <v>Žena</v>
      </c>
      <c r="H505" s="9">
        <v>504</v>
      </c>
      <c r="I505" s="9" t="s">
        <v>91</v>
      </c>
      <c r="J505" t="str">
        <f t="shared" si="7"/>
        <v>Aneta Veselá</v>
      </c>
    </row>
    <row r="506" spans="1:10" ht="14.4" x14ac:dyDescent="0.3">
      <c r="A506" s="9" t="s">
        <v>318</v>
      </c>
      <c r="B506" s="9" t="s">
        <v>199</v>
      </c>
      <c r="C506" s="9" t="s">
        <v>70</v>
      </c>
      <c r="D506" s="10">
        <v>36001</v>
      </c>
      <c r="E506" s="9" t="s">
        <v>1078</v>
      </c>
      <c r="F506" s="9" t="s">
        <v>72</v>
      </c>
      <c r="G506" s="9" t="str">
        <f>IF(Table1[[#This Row],[POHLAVI]]="M","Muž", "Žena")</f>
        <v>Žena</v>
      </c>
      <c r="H506" s="9">
        <v>505</v>
      </c>
      <c r="I506" s="9" t="s">
        <v>67</v>
      </c>
      <c r="J506" t="str">
        <f t="shared" si="7"/>
        <v>Hana Žáková</v>
      </c>
    </row>
    <row r="507" spans="1:10" ht="14.4" x14ac:dyDescent="0.3">
      <c r="A507" s="9" t="s">
        <v>512</v>
      </c>
      <c r="B507" s="9" t="s">
        <v>1079</v>
      </c>
      <c r="C507" s="9" t="s">
        <v>70</v>
      </c>
      <c r="D507" s="10">
        <v>35723</v>
      </c>
      <c r="E507" s="9" t="s">
        <v>1080</v>
      </c>
      <c r="F507" s="9" t="s">
        <v>72</v>
      </c>
      <c r="G507" s="9" t="str">
        <f>IF(Table1[[#This Row],[POHLAVI]]="M","Muž", "Žena")</f>
        <v>Žena</v>
      </c>
      <c r="H507" s="9">
        <v>506</v>
      </c>
      <c r="I507" s="9" t="s">
        <v>67</v>
      </c>
      <c r="J507" t="str">
        <f t="shared" si="7"/>
        <v>Eva Čechalová</v>
      </c>
    </row>
    <row r="508" spans="1:10" ht="14.4" x14ac:dyDescent="0.3">
      <c r="A508" s="9" t="s">
        <v>293</v>
      </c>
      <c r="B508" s="9" t="s">
        <v>63</v>
      </c>
      <c r="C508" s="9" t="s">
        <v>70</v>
      </c>
      <c r="D508" s="10">
        <v>35951</v>
      </c>
      <c r="E508" s="9" t="s">
        <v>1081</v>
      </c>
      <c r="F508" s="9" t="s">
        <v>66</v>
      </c>
      <c r="G508" s="9" t="str">
        <f>IF(Table1[[#This Row],[POHLAVI]]="M","Muž", "Žena")</f>
        <v>Muž</v>
      </c>
      <c r="H508" s="9">
        <v>507</v>
      </c>
      <c r="I508" s="9" t="s">
        <v>67</v>
      </c>
      <c r="J508" t="str">
        <f t="shared" si="7"/>
        <v>Ondřej Dufek</v>
      </c>
    </row>
    <row r="509" spans="1:10" ht="14.4" x14ac:dyDescent="0.3">
      <c r="A509" s="9" t="s">
        <v>255</v>
      </c>
      <c r="B509" s="9" t="s">
        <v>1082</v>
      </c>
      <c r="C509" s="9" t="s">
        <v>70</v>
      </c>
      <c r="D509" s="10">
        <v>35562</v>
      </c>
      <c r="E509" s="9" t="s">
        <v>1083</v>
      </c>
      <c r="F509" s="9" t="s">
        <v>72</v>
      </c>
      <c r="G509" s="9" t="str">
        <f>IF(Table1[[#This Row],[POHLAVI]]="M","Muž", "Žena")</f>
        <v>Žena</v>
      </c>
      <c r="H509" s="9">
        <v>508</v>
      </c>
      <c r="I509" s="9" t="s">
        <v>67</v>
      </c>
      <c r="J509" t="str">
        <f t="shared" si="7"/>
        <v>Aneta Dufková</v>
      </c>
    </row>
    <row r="510" spans="1:10" ht="14.4" x14ac:dyDescent="0.3">
      <c r="A510" s="9" t="s">
        <v>705</v>
      </c>
      <c r="B510" s="9" t="s">
        <v>219</v>
      </c>
      <c r="C510" s="9" t="s">
        <v>70</v>
      </c>
      <c r="D510" s="10">
        <v>35824</v>
      </c>
      <c r="E510" s="9" t="s">
        <v>1084</v>
      </c>
      <c r="F510" s="9" t="s">
        <v>66</v>
      </c>
      <c r="G510" s="9" t="str">
        <f>IF(Table1[[#This Row],[POHLAVI]]="M","Muž", "Žena")</f>
        <v>Muž</v>
      </c>
      <c r="H510" s="9">
        <v>509</v>
      </c>
      <c r="I510" s="9" t="s">
        <v>67</v>
      </c>
      <c r="J510" t="str">
        <f t="shared" si="7"/>
        <v>Erik Havlík</v>
      </c>
    </row>
    <row r="511" spans="1:10" ht="14.4" x14ac:dyDescent="0.3">
      <c r="A511" s="9" t="s">
        <v>203</v>
      </c>
      <c r="B511" s="9" t="s">
        <v>1085</v>
      </c>
      <c r="C511" s="9" t="s">
        <v>70</v>
      </c>
      <c r="D511" s="10">
        <v>35768</v>
      </c>
      <c r="E511" s="9" t="s">
        <v>1086</v>
      </c>
      <c r="F511" s="9" t="s">
        <v>72</v>
      </c>
      <c r="G511" s="9" t="str">
        <f>IF(Table1[[#This Row],[POHLAVI]]="M","Muž", "Žena")</f>
        <v>Žena</v>
      </c>
      <c r="H511" s="9">
        <v>510</v>
      </c>
      <c r="I511" s="9" t="s">
        <v>67</v>
      </c>
      <c r="J511" t="str">
        <f t="shared" si="7"/>
        <v>Veronika Holečková</v>
      </c>
    </row>
    <row r="512" spans="1:10" ht="14.4" x14ac:dyDescent="0.3">
      <c r="A512" s="9" t="s">
        <v>103</v>
      </c>
      <c r="B512" s="9" t="s">
        <v>1087</v>
      </c>
      <c r="C512" s="9" t="s">
        <v>70</v>
      </c>
      <c r="D512" s="10">
        <v>35668</v>
      </c>
      <c r="E512" s="9" t="s">
        <v>1088</v>
      </c>
      <c r="F512" s="9" t="s">
        <v>66</v>
      </c>
      <c r="G512" s="9" t="str">
        <f>IF(Table1[[#This Row],[POHLAVI]]="M","Muž", "Žena")</f>
        <v>Muž</v>
      </c>
      <c r="H512" s="9">
        <v>511</v>
      </c>
      <c r="I512" s="9" t="s">
        <v>67</v>
      </c>
      <c r="J512" t="str">
        <f t="shared" si="7"/>
        <v>Jakub Horváth</v>
      </c>
    </row>
    <row r="513" spans="1:10" ht="14.4" x14ac:dyDescent="0.3">
      <c r="A513" s="9" t="s">
        <v>414</v>
      </c>
      <c r="B513" s="9" t="s">
        <v>1089</v>
      </c>
      <c r="C513" s="9" t="s">
        <v>601</v>
      </c>
      <c r="D513" s="10">
        <v>35920</v>
      </c>
      <c r="E513" s="9" t="s">
        <v>1090</v>
      </c>
      <c r="F513" s="9" t="s">
        <v>72</v>
      </c>
      <c r="G513" s="9" t="str">
        <f>IF(Table1[[#This Row],[POHLAVI]]="M","Muž", "Žena")</f>
        <v>Žena</v>
      </c>
      <c r="H513" s="9">
        <v>512</v>
      </c>
      <c r="I513" s="9" t="s">
        <v>67</v>
      </c>
      <c r="J513" t="str">
        <f t="shared" si="7"/>
        <v>Martina Juračková</v>
      </c>
    </row>
    <row r="514" spans="1:10" ht="14.4" x14ac:dyDescent="0.3">
      <c r="A514" s="9" t="s">
        <v>151</v>
      </c>
      <c r="B514" s="9" t="s">
        <v>361</v>
      </c>
      <c r="C514" s="9" t="s">
        <v>70</v>
      </c>
      <c r="D514" s="10">
        <v>35779</v>
      </c>
      <c r="E514" s="9" t="s">
        <v>1091</v>
      </c>
      <c r="F514" s="9" t="s">
        <v>66</v>
      </c>
      <c r="G514" s="9" t="str">
        <f>IF(Table1[[#This Row],[POHLAVI]]="M","Muž", "Žena")</f>
        <v>Muž</v>
      </c>
      <c r="H514" s="9">
        <v>513</v>
      </c>
      <c r="I514" s="9" t="s">
        <v>67</v>
      </c>
      <c r="J514" t="str">
        <f t="shared" si="7"/>
        <v>Petr Kaštánek</v>
      </c>
    </row>
    <row r="515" spans="1:10" ht="14.4" x14ac:dyDescent="0.3">
      <c r="A515" s="9" t="s">
        <v>339</v>
      </c>
      <c r="B515" s="9" t="s">
        <v>1092</v>
      </c>
      <c r="C515" s="9" t="s">
        <v>70</v>
      </c>
      <c r="D515" s="10">
        <v>35691</v>
      </c>
      <c r="E515" s="9" t="s">
        <v>1093</v>
      </c>
      <c r="F515" s="9" t="s">
        <v>72</v>
      </c>
      <c r="G515" s="9" t="str">
        <f>IF(Table1[[#This Row],[POHLAVI]]="M","Muž", "Žena")</f>
        <v>Žena</v>
      </c>
      <c r="H515" s="9">
        <v>514</v>
      </c>
      <c r="I515" s="9" t="s">
        <v>80</v>
      </c>
      <c r="J515" t="str">
        <f t="shared" ref="J515:J532" si="8">_xlfn.TEXTJOIN(" ",1,$A515:$B515)</f>
        <v>Vendula Kocandová</v>
      </c>
    </row>
    <row r="516" spans="1:10" ht="14.4" x14ac:dyDescent="0.3">
      <c r="A516" s="9" t="s">
        <v>145</v>
      </c>
      <c r="B516" s="9" t="s">
        <v>797</v>
      </c>
      <c r="C516" s="9" t="s">
        <v>70</v>
      </c>
      <c r="D516" s="10">
        <v>35735</v>
      </c>
      <c r="E516" s="9" t="s">
        <v>1094</v>
      </c>
      <c r="F516" s="9" t="s">
        <v>66</v>
      </c>
      <c r="G516" s="9" t="str">
        <f>IF(Table1[[#This Row],[POHLAVI]]="M","Muž", "Žena")</f>
        <v>Muž</v>
      </c>
      <c r="H516" s="9">
        <v>515</v>
      </c>
      <c r="I516" s="9" t="s">
        <v>67</v>
      </c>
      <c r="J516" t="str">
        <f t="shared" si="8"/>
        <v>Pavel Laštovička</v>
      </c>
    </row>
    <row r="517" spans="1:10" ht="14.4" x14ac:dyDescent="0.3">
      <c r="A517" s="9" t="s">
        <v>151</v>
      </c>
      <c r="B517" s="9" t="s">
        <v>1095</v>
      </c>
      <c r="C517" s="9" t="s">
        <v>70</v>
      </c>
      <c r="D517" s="10">
        <v>35775</v>
      </c>
      <c r="E517" s="9" t="s">
        <v>1096</v>
      </c>
      <c r="F517" s="9" t="s">
        <v>66</v>
      </c>
      <c r="G517" s="9" t="str">
        <f>IF(Table1[[#This Row],[POHLAVI]]="M","Muž", "Žena")</f>
        <v>Muž</v>
      </c>
      <c r="H517" s="9">
        <v>516</v>
      </c>
      <c r="I517" s="9" t="s">
        <v>67</v>
      </c>
      <c r="J517" t="str">
        <f t="shared" si="8"/>
        <v>Petr Mazánek</v>
      </c>
    </row>
    <row r="518" spans="1:10" ht="14.4" x14ac:dyDescent="0.3">
      <c r="A518" s="9" t="s">
        <v>136</v>
      </c>
      <c r="B518" s="9" t="s">
        <v>892</v>
      </c>
      <c r="C518" s="9" t="s">
        <v>70</v>
      </c>
      <c r="D518" s="10">
        <v>35979</v>
      </c>
      <c r="E518" s="9" t="s">
        <v>1097</v>
      </c>
      <c r="F518" s="9" t="s">
        <v>66</v>
      </c>
      <c r="G518" s="9" t="str">
        <f>IF(Table1[[#This Row],[POHLAVI]]="M","Muž", "Žena")</f>
        <v>Muž</v>
      </c>
      <c r="H518" s="9">
        <v>517</v>
      </c>
      <c r="I518" s="9" t="s">
        <v>67</v>
      </c>
      <c r="J518" t="str">
        <f t="shared" si="8"/>
        <v>Jan Německý</v>
      </c>
    </row>
    <row r="519" spans="1:10" ht="14.4" x14ac:dyDescent="0.3">
      <c r="A519" s="9" t="s">
        <v>77</v>
      </c>
      <c r="B519" s="9" t="s">
        <v>922</v>
      </c>
      <c r="C519" s="9" t="s">
        <v>75</v>
      </c>
      <c r="D519" s="10">
        <v>35926</v>
      </c>
      <c r="E519" s="9" t="s">
        <v>1098</v>
      </c>
      <c r="F519" s="9" t="s">
        <v>66</v>
      </c>
      <c r="G519" s="9" t="str">
        <f>IF(Table1[[#This Row],[POHLAVI]]="M","Muž", "Žena")</f>
        <v>Muž</v>
      </c>
      <c r="H519" s="9">
        <v>518</v>
      </c>
      <c r="I519" s="9" t="s">
        <v>67</v>
      </c>
      <c r="J519" t="str">
        <f t="shared" si="8"/>
        <v>Tomáš Novotný</v>
      </c>
    </row>
    <row r="520" spans="1:10" ht="14.4" x14ac:dyDescent="0.3">
      <c r="A520" s="9" t="s">
        <v>114</v>
      </c>
      <c r="B520" s="9" t="s">
        <v>1099</v>
      </c>
      <c r="C520" s="9" t="s">
        <v>70</v>
      </c>
      <c r="D520" s="10">
        <v>35780</v>
      </c>
      <c r="E520" s="9" t="s">
        <v>1100</v>
      </c>
      <c r="F520" s="9" t="s">
        <v>66</v>
      </c>
      <c r="G520" s="9" t="str">
        <f>IF(Table1[[#This Row],[POHLAVI]]="M","Muž", "Žena")</f>
        <v>Muž</v>
      </c>
      <c r="H520" s="9">
        <v>519</v>
      </c>
      <c r="I520" s="9" t="s">
        <v>117</v>
      </c>
      <c r="J520" t="str">
        <f t="shared" si="8"/>
        <v>David Ohrazda</v>
      </c>
    </row>
    <row r="521" spans="1:10" ht="14.4" x14ac:dyDescent="0.3">
      <c r="A521" s="9" t="s">
        <v>84</v>
      </c>
      <c r="B521" s="9" t="s">
        <v>522</v>
      </c>
      <c r="C521" s="9" t="s">
        <v>70</v>
      </c>
      <c r="D521" s="10">
        <v>35504</v>
      </c>
      <c r="E521" s="9" t="s">
        <v>1101</v>
      </c>
      <c r="F521" s="9" t="s">
        <v>66</v>
      </c>
      <c r="G521" s="9" t="str">
        <f>IF(Table1[[#This Row],[POHLAVI]]="M","Muž", "Žena")</f>
        <v>Muž</v>
      </c>
      <c r="H521" s="9">
        <v>520</v>
      </c>
      <c r="I521" s="9" t="s">
        <v>67</v>
      </c>
      <c r="J521" t="str">
        <f t="shared" si="8"/>
        <v>Zdeněk Pelikán</v>
      </c>
    </row>
    <row r="522" spans="1:10" ht="14.4" x14ac:dyDescent="0.3">
      <c r="A522" s="9" t="s">
        <v>227</v>
      </c>
      <c r="B522" s="9" t="s">
        <v>1102</v>
      </c>
      <c r="C522" s="9" t="s">
        <v>70</v>
      </c>
      <c r="D522" s="10">
        <v>35566</v>
      </c>
      <c r="E522" s="9" t="s">
        <v>1103</v>
      </c>
      <c r="F522" s="9" t="s">
        <v>72</v>
      </c>
      <c r="G522" s="9" t="str">
        <f>IF(Table1[[#This Row],[POHLAVI]]="M","Muž", "Žena")</f>
        <v>Žena</v>
      </c>
      <c r="H522" s="9">
        <v>521</v>
      </c>
      <c r="I522" s="9" t="s">
        <v>67</v>
      </c>
      <c r="J522" t="str">
        <f t="shared" si="8"/>
        <v>Libuše Pleskačová</v>
      </c>
    </row>
    <row r="523" spans="1:10" ht="14.4" x14ac:dyDescent="0.3">
      <c r="A523" s="9" t="s">
        <v>175</v>
      </c>
      <c r="B523" s="9" t="s">
        <v>1104</v>
      </c>
      <c r="C523" s="9" t="s">
        <v>70</v>
      </c>
      <c r="D523" s="10">
        <v>35722</v>
      </c>
      <c r="E523" s="9" t="s">
        <v>1105</v>
      </c>
      <c r="F523" s="9" t="s">
        <v>66</v>
      </c>
      <c r="G523" s="9" t="str">
        <f>IF(Table1[[#This Row],[POHLAVI]]="M","Muž", "Žena")</f>
        <v>Muž</v>
      </c>
      <c r="H523" s="9">
        <v>522</v>
      </c>
      <c r="I523" s="9" t="s">
        <v>67</v>
      </c>
      <c r="J523" t="str">
        <f t="shared" si="8"/>
        <v>Aleš Roháček</v>
      </c>
    </row>
    <row r="524" spans="1:10" ht="14.4" x14ac:dyDescent="0.3">
      <c r="A524" s="9" t="s">
        <v>668</v>
      </c>
      <c r="B524" s="9" t="s">
        <v>1106</v>
      </c>
      <c r="C524" s="9" t="s">
        <v>70</v>
      </c>
      <c r="D524" s="10">
        <v>35956</v>
      </c>
      <c r="E524" s="9" t="s">
        <v>1107</v>
      </c>
      <c r="F524" s="9" t="s">
        <v>72</v>
      </c>
      <c r="G524" s="9" t="str">
        <f>IF(Table1[[#This Row],[POHLAVI]]="M","Muž", "Žena")</f>
        <v>Žena</v>
      </c>
      <c r="H524" s="9">
        <v>523</v>
      </c>
      <c r="I524" s="9" t="s">
        <v>67</v>
      </c>
      <c r="J524" t="str">
        <f t="shared" si="8"/>
        <v>Ludmila Švandová</v>
      </c>
    </row>
    <row r="525" spans="1:10" ht="14.4" x14ac:dyDescent="0.3">
      <c r="A525" s="9" t="s">
        <v>1108</v>
      </c>
      <c r="B525" s="9" t="s">
        <v>931</v>
      </c>
      <c r="C525" s="9" t="s">
        <v>70</v>
      </c>
      <c r="D525" s="10">
        <v>35928</v>
      </c>
      <c r="E525" s="9" t="s">
        <v>1109</v>
      </c>
      <c r="F525" s="9" t="s">
        <v>72</v>
      </c>
      <c r="G525" s="9" t="str">
        <f>IF(Table1[[#This Row],[POHLAVI]]="M","Muž", "Žena")</f>
        <v>Žena</v>
      </c>
      <c r="H525" s="9">
        <v>524</v>
      </c>
      <c r="I525" s="9" t="s">
        <v>67</v>
      </c>
      <c r="J525" t="str">
        <f t="shared" si="8"/>
        <v>Kamila Tománková</v>
      </c>
    </row>
    <row r="526" spans="1:10" ht="14.4" x14ac:dyDescent="0.3">
      <c r="A526" s="9" t="s">
        <v>288</v>
      </c>
      <c r="B526" s="9" t="s">
        <v>540</v>
      </c>
      <c r="C526" s="9" t="s">
        <v>70</v>
      </c>
      <c r="D526" s="10">
        <v>35805</v>
      </c>
      <c r="E526" s="9" t="s">
        <v>1110</v>
      </c>
      <c r="F526" s="9" t="s">
        <v>66</v>
      </c>
      <c r="G526" s="9" t="str">
        <f>IF(Table1[[#This Row],[POHLAVI]]="M","Muž", "Žena")</f>
        <v>Muž</v>
      </c>
      <c r="H526" s="9">
        <v>525</v>
      </c>
      <c r="I526" s="9" t="s">
        <v>67</v>
      </c>
      <c r="J526" t="str">
        <f t="shared" si="8"/>
        <v>Filip Trödler</v>
      </c>
    </row>
    <row r="527" spans="1:10" ht="14.4" x14ac:dyDescent="0.3">
      <c r="A527" s="9" t="s">
        <v>1111</v>
      </c>
      <c r="B527" s="9" t="s">
        <v>1112</v>
      </c>
      <c r="C527" s="9" t="s">
        <v>70</v>
      </c>
      <c r="D527" s="10">
        <v>35692</v>
      </c>
      <c r="E527" s="9" t="s">
        <v>1113</v>
      </c>
      <c r="F527" s="9" t="s">
        <v>66</v>
      </c>
      <c r="G527" s="9" t="str">
        <f>IF(Table1[[#This Row],[POHLAVI]]="M","Muž", "Žena")</f>
        <v>Muž</v>
      </c>
      <c r="H527" s="9">
        <v>526</v>
      </c>
      <c r="I527" s="9" t="s">
        <v>67</v>
      </c>
      <c r="J527" t="str">
        <f t="shared" si="8"/>
        <v>Philip Trommelen</v>
      </c>
    </row>
    <row r="528" spans="1:10" ht="14.4" x14ac:dyDescent="0.3">
      <c r="A528" s="9" t="s">
        <v>1114</v>
      </c>
      <c r="B528" s="9" t="s">
        <v>134</v>
      </c>
      <c r="C528" s="9" t="s">
        <v>70</v>
      </c>
      <c r="D528" s="10">
        <v>35739</v>
      </c>
      <c r="E528" s="9" t="s">
        <v>1115</v>
      </c>
      <c r="F528" s="9" t="s">
        <v>72</v>
      </c>
      <c r="G528" s="9" t="str">
        <f>IF(Table1[[#This Row],[POHLAVI]]="M","Muž", "Žena")</f>
        <v>Žena</v>
      </c>
      <c r="H528" s="9">
        <v>527</v>
      </c>
      <c r="I528" s="9" t="s">
        <v>67</v>
      </c>
      <c r="J528" t="str">
        <f t="shared" si="8"/>
        <v>Marta Tulisová</v>
      </c>
    </row>
    <row r="529" spans="1:10" ht="14.4" x14ac:dyDescent="0.3">
      <c r="A529" s="9" t="s">
        <v>159</v>
      </c>
      <c r="B529" s="9" t="s">
        <v>1116</v>
      </c>
      <c r="C529" s="9" t="s">
        <v>70</v>
      </c>
      <c r="D529" s="10">
        <v>35758</v>
      </c>
      <c r="E529" s="9" t="s">
        <v>1117</v>
      </c>
      <c r="F529" s="9" t="s">
        <v>66</v>
      </c>
      <c r="G529" s="9" t="str">
        <f>IF(Table1[[#This Row],[POHLAVI]]="M","Muž", "Žena")</f>
        <v>Muž</v>
      </c>
      <c r="H529" s="9">
        <v>528</v>
      </c>
      <c r="I529" s="9" t="s">
        <v>91</v>
      </c>
      <c r="J529" t="str">
        <f t="shared" si="8"/>
        <v>Václav Večeřa</v>
      </c>
    </row>
    <row r="530" spans="1:10" ht="14.4" x14ac:dyDescent="0.3">
      <c r="A530" s="9" t="s">
        <v>288</v>
      </c>
      <c r="B530" s="9" t="s">
        <v>1118</v>
      </c>
      <c r="C530" s="9" t="s">
        <v>601</v>
      </c>
      <c r="D530" s="10">
        <v>35894</v>
      </c>
      <c r="E530" s="9" t="s">
        <v>1119</v>
      </c>
      <c r="F530" s="9" t="s">
        <v>66</v>
      </c>
      <c r="G530" s="9" t="str">
        <f>IF(Table1[[#This Row],[POHLAVI]]="M","Muž", "Žena")</f>
        <v>Muž</v>
      </c>
      <c r="H530" s="9">
        <v>529</v>
      </c>
      <c r="I530" s="9" t="s">
        <v>67</v>
      </c>
      <c r="J530" t="str">
        <f t="shared" si="8"/>
        <v>Filip Vraspír</v>
      </c>
    </row>
    <row r="531" spans="1:10" ht="14.4" x14ac:dyDescent="0.3">
      <c r="A531" s="9" t="s">
        <v>145</v>
      </c>
      <c r="B531" s="9" t="s">
        <v>818</v>
      </c>
      <c r="C531" s="9" t="s">
        <v>70</v>
      </c>
      <c r="D531" s="10">
        <v>35666</v>
      </c>
      <c r="E531" s="9" t="s">
        <v>1120</v>
      </c>
      <c r="F531" s="9" t="s">
        <v>66</v>
      </c>
      <c r="G531" s="9" t="str">
        <f>IF(Table1[[#This Row],[POHLAVI]]="M","Muž", "Žena")</f>
        <v>Muž</v>
      </c>
      <c r="H531" s="9">
        <v>530</v>
      </c>
      <c r="I531" s="9" t="s">
        <v>67</v>
      </c>
      <c r="J531" t="str">
        <f t="shared" si="8"/>
        <v>Pavel Zelený</v>
      </c>
    </row>
    <row r="532" spans="1:10" ht="14.4" x14ac:dyDescent="0.3">
      <c r="A532" s="9" t="s">
        <v>103</v>
      </c>
      <c r="B532" s="9" t="s">
        <v>384</v>
      </c>
      <c r="C532" s="9" t="s">
        <v>70</v>
      </c>
      <c r="D532" s="10">
        <v>35682</v>
      </c>
      <c r="E532" s="9" t="s">
        <v>1121</v>
      </c>
      <c r="F532" s="9" t="s">
        <v>66</v>
      </c>
      <c r="G532" s="9" t="str">
        <f>IF(Table1[[#This Row],[POHLAVI]]="M","Muž", "Žena")</f>
        <v>Muž</v>
      </c>
      <c r="H532" s="9">
        <v>531</v>
      </c>
      <c r="I532" s="9" t="s">
        <v>67</v>
      </c>
      <c r="J532" t="str">
        <f t="shared" si="8"/>
        <v>Jakub Žák</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bazar</vt:lpstr>
      <vt:lpstr>Sheet1</vt:lpstr>
      <vt:lpstr>škola</vt:lpstr>
      <vt:lpstr>bazar</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slama</dc:creator>
  <cp:lastModifiedBy>Halyna Kaida</cp:lastModifiedBy>
  <dcterms:created xsi:type="dcterms:W3CDTF">2011-02-22T08:33:08Z</dcterms:created>
  <dcterms:modified xsi:type="dcterms:W3CDTF">2025-12-04T09:56:22Z</dcterms:modified>
</cp:coreProperties>
</file>