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C:\Users\kalli\Downloads\"/>
    </mc:Choice>
  </mc:AlternateContent>
  <xr:revisionPtr revIDLastSave="0" documentId="13_ncr:1_{40B7AA08-DD81-471A-A298-EF8EBAB612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zar" sheetId="1" r:id="rId1"/>
    <sheet name="Sheet1" sheetId="2" r:id="rId2"/>
  </sheets>
  <definedNames>
    <definedName name="bazar">bazar!$A$1:$I$61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1" l="1"/>
  <c r="Q29" i="1"/>
  <c r="R29" i="1"/>
  <c r="S29" i="1"/>
  <c r="T29" i="1"/>
  <c r="U29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U14" i="1"/>
  <c r="T14" i="1"/>
  <c r="S14" i="1"/>
  <c r="R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14" i="1"/>
  <c r="P13" i="1" a="1"/>
  <c r="P13" i="1"/>
  <c r="L14" i="1" a="1"/>
  <c r="L14" i="1"/>
  <c r="O6" i="1"/>
  <c r="O7" i="1"/>
  <c r="O8" i="1"/>
  <c r="O9" i="1"/>
  <c r="O5" i="1"/>
  <c r="O10" i="1"/>
  <c r="N7" i="1"/>
  <c r="N10" i="1"/>
  <c r="M14" i="1" l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O28" i="1" l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O29" i="1" s="1"/>
  <c r="N14" i="1"/>
  <c r="N29" i="1" s="1"/>
  <c r="N6" i="1" l="1"/>
  <c r="N8" i="1"/>
  <c r="N9" i="1"/>
  <c r="N5" i="1"/>
  <c r="M5" i="1" a="1"/>
  <c r="M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<sst xmlns="http://schemas.openxmlformats.org/spreadsheetml/2006/main" count="234" uniqueCount="55">
  <si>
    <t>typ</t>
  </si>
  <si>
    <t>barva</t>
  </si>
  <si>
    <t>airbag</t>
  </si>
  <si>
    <t>km</t>
  </si>
  <si>
    <t>cena</t>
  </si>
  <si>
    <t>splátky</t>
  </si>
  <si>
    <t>Favorit</t>
  </si>
  <si>
    <t>Škoda</t>
  </si>
  <si>
    <t>žlutá</t>
  </si>
  <si>
    <t>měsíčně</t>
  </si>
  <si>
    <t>Mondeo</t>
  </si>
  <si>
    <t>Ford</t>
  </si>
  <si>
    <t>bílá</t>
  </si>
  <si>
    <t>Yaris</t>
  </si>
  <si>
    <t>Toyota</t>
  </si>
  <si>
    <t>Corrola</t>
  </si>
  <si>
    <t>Forman</t>
  </si>
  <si>
    <t>modrá</t>
  </si>
  <si>
    <t>Punto</t>
  </si>
  <si>
    <t>Fiat</t>
  </si>
  <si>
    <t>pololetně</t>
  </si>
  <si>
    <t>Octavie</t>
  </si>
  <si>
    <t>zelená</t>
  </si>
  <si>
    <t>Felicie</t>
  </si>
  <si>
    <t>Fabie</t>
  </si>
  <si>
    <t>ročně</t>
  </si>
  <si>
    <t>Bravo</t>
  </si>
  <si>
    <t>Mazda323</t>
  </si>
  <si>
    <t>Mazda</t>
  </si>
  <si>
    <t>Escort</t>
  </si>
  <si>
    <t>Fiesta</t>
  </si>
  <si>
    <t>Mazda626</t>
  </si>
  <si>
    <t>černá</t>
  </si>
  <si>
    <t>červená</t>
  </si>
  <si>
    <t>Marea</t>
  </si>
  <si>
    <t>značka</t>
  </si>
  <si>
    <t>Clkem</t>
  </si>
  <si>
    <t>rok vyroby</t>
  </si>
  <si>
    <t>číslo auta</t>
  </si>
  <si>
    <t>Celkový počet</t>
  </si>
  <si>
    <t>Celková cena</t>
  </si>
  <si>
    <t>Značka</t>
  </si>
  <si>
    <t xml:space="preserve">Typ </t>
  </si>
  <si>
    <t>Počet</t>
  </si>
  <si>
    <t>Cena</t>
  </si>
  <si>
    <t>Celkem</t>
  </si>
  <si>
    <t>XLOOKUP</t>
  </si>
  <si>
    <t>SUM</t>
  </si>
  <si>
    <t>SUMIF</t>
  </si>
  <si>
    <t>COUNTIF</t>
  </si>
  <si>
    <t>UNIQUE</t>
  </si>
  <si>
    <t>TRANSPOSE</t>
  </si>
  <si>
    <t>SUMIFS</t>
  </si>
  <si>
    <t>COUNTIFS</t>
  </si>
  <si>
    <t>Pou6ite funkce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</si>
</sst>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b/>
      <sz val="10"/>
      <name val="MS Sans Serif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"/>
  <sheetViews>
    <sheetView tabSelected="1" topLeftCell="B10" workbookViewId="0">
      <selection activeCell="L41" sqref="L41"/>
    </sheetView>
  </sheetViews>
  <sheetFormatPr defaultRowHeight="12.6" x14ac:dyDescent="0.25"/>
  <cols>
    <col min="1" max="1" width="13.5546875" customWidth="1"/>
    <col min="6" max="6" width="17" customWidth="1"/>
    <col min="8" max="8" width="13.21875" customWidth="1"/>
    <col min="12" max="12" width="12.33203125" bestFit="1" customWidth="1"/>
    <col min="14" max="14" width="12.44140625" bestFit="1" customWidth="1"/>
    <col min="15" max="15" width="12.6640625" customWidth="1"/>
    <col min="16" max="16" width="7.44140625" customWidth="1"/>
    <col min="17" max="17" width="11.5546875" customWidth="1"/>
    <col min="18" max="21" width="7.44140625" customWidth="1"/>
  </cols>
  <sheetData>
    <row r="1" spans="1:21" x14ac:dyDescent="0.25">
      <c r="A1" s="6" t="s">
        <v>38</v>
      </c>
      <c r="B1" s="6" t="s">
        <v>0</v>
      </c>
      <c r="C1" s="6" t="s">
        <v>35</v>
      </c>
      <c r="D1" s="6" t="s">
        <v>37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</row>
    <row r="2" spans="1:21" x14ac:dyDescent="0.25">
      <c r="A2" s="2">
        <v>1</v>
      </c>
      <c r="B2" s="2" t="s">
        <v>6</v>
      </c>
      <c r="C2" s="2" t="s">
        <v>7</v>
      </c>
      <c r="D2" s="2">
        <v>1998</v>
      </c>
      <c r="E2" s="2" t="s">
        <v>8</v>
      </c>
      <c r="F2" s="2" t="b">
        <v>1</v>
      </c>
      <c r="G2" s="2">
        <v>14500</v>
      </c>
      <c r="H2" s="3">
        <v>80300</v>
      </c>
      <c r="I2" s="2" t="s">
        <v>9</v>
      </c>
    </row>
    <row r="3" spans="1:21" x14ac:dyDescent="0.25">
      <c r="A3" s="2">
        <v>2</v>
      </c>
      <c r="B3" s="2" t="s">
        <v>10</v>
      </c>
      <c r="C3" s="2" t="s">
        <v>11</v>
      </c>
      <c r="D3" s="2">
        <v>1998</v>
      </c>
      <c r="E3" s="2" t="s">
        <v>12</v>
      </c>
      <c r="F3" s="2" t="b">
        <v>0</v>
      </c>
      <c r="G3" s="2">
        <v>254453</v>
      </c>
      <c r="H3" s="3">
        <v>45000</v>
      </c>
      <c r="I3" s="2"/>
    </row>
    <row r="4" spans="1:21" x14ac:dyDescent="0.25">
      <c r="A4" s="2">
        <v>3</v>
      </c>
      <c r="B4" s="2" t="s">
        <v>6</v>
      </c>
      <c r="C4" s="2" t="s">
        <v>7</v>
      </c>
      <c r="D4" s="2">
        <v>1998</v>
      </c>
      <c r="E4" s="2" t="s">
        <v>8</v>
      </c>
      <c r="F4" s="2" t="b">
        <v>1</v>
      </c>
      <c r="G4" s="2">
        <v>53020</v>
      </c>
      <c r="H4" s="3">
        <v>63000</v>
      </c>
      <c r="I4" s="2"/>
      <c r="M4" s="6" t="s">
        <v>41</v>
      </c>
      <c r="N4" s="6" t="s">
        <v>39</v>
      </c>
      <c r="O4" s="6" t="s">
        <v>40</v>
      </c>
      <c r="P4" s="4"/>
      <c r="Q4" s="4"/>
    </row>
    <row r="5" spans="1:21" x14ac:dyDescent="0.25">
      <c r="A5" s="2">
        <v>4</v>
      </c>
      <c r="B5" s="2" t="s">
        <v>10</v>
      </c>
      <c r="C5" s="2" t="s">
        <v>11</v>
      </c>
      <c r="D5" s="2">
        <v>1998</v>
      </c>
      <c r="E5" s="2" t="s">
        <v>12</v>
      </c>
      <c r="F5" s="2" t="b">
        <v>1</v>
      </c>
      <c r="G5" s="2">
        <v>23205</v>
      </c>
      <c r="H5" s="3">
        <v>102500</v>
      </c>
      <c r="I5" s="2" t="s">
        <v>9</v>
      </c>
      <c r="M5" s="2" t="str" cm="1">
        <f t="array" ref="M5:M9">_xlfn.UNIQUE($C$2:$C$61)</f>
        <v>Škoda</v>
      </c>
      <c r="N5" s="2">
        <f>COUNTIF($C$2:$C$61,$M5)</f>
        <v>22</v>
      </c>
      <c r="O5" s="2">
        <f>SUMIF($C$2:$C$61,$M5,$H$2:$H$61)</f>
        <v>2712100</v>
      </c>
    </row>
    <row r="6" spans="1:21" x14ac:dyDescent="0.25">
      <c r="A6" s="2">
        <v>5</v>
      </c>
      <c r="B6" s="2" t="s">
        <v>13</v>
      </c>
      <c r="C6" s="2" t="s">
        <v>14</v>
      </c>
      <c r="D6" s="2">
        <v>1999</v>
      </c>
      <c r="E6" s="2" t="s">
        <v>12</v>
      </c>
      <c r="F6" s="2" t="b">
        <v>1</v>
      </c>
      <c r="G6" s="2">
        <v>34562</v>
      </c>
      <c r="H6" s="3">
        <v>63000</v>
      </c>
      <c r="I6" s="2"/>
      <c r="M6" s="2" t="str">
        <v>Ford</v>
      </c>
      <c r="N6" s="2">
        <f t="shared" ref="N6:N9" si="0">COUNTIF($C$2:$C$61,$M6)</f>
        <v>10</v>
      </c>
      <c r="O6" s="2">
        <f t="shared" ref="O6:O9" si="1">SUMIF($C$2:$C$61,$M6,$H$2:$H$61)</f>
        <v>796000</v>
      </c>
    </row>
    <row r="7" spans="1:21" x14ac:dyDescent="0.25">
      <c r="A7" s="2">
        <v>6</v>
      </c>
      <c r="B7" s="2" t="s">
        <v>15</v>
      </c>
      <c r="C7" s="2" t="s">
        <v>14</v>
      </c>
      <c r="D7" s="2">
        <v>1999</v>
      </c>
      <c r="E7" s="2" t="s">
        <v>8</v>
      </c>
      <c r="F7" s="2" t="b">
        <v>1</v>
      </c>
      <c r="G7" s="2">
        <v>658963</v>
      </c>
      <c r="H7" s="3">
        <v>48000</v>
      </c>
      <c r="I7" s="2"/>
      <c r="M7" s="2" t="str">
        <v>Toyota</v>
      </c>
      <c r="N7" s="2">
        <f>COUNTIF($C$2:$C$61,$M7)</f>
        <v>5</v>
      </c>
      <c r="O7" s="2">
        <f t="shared" si="1"/>
        <v>248000</v>
      </c>
    </row>
    <row r="8" spans="1:21" x14ac:dyDescent="0.25">
      <c r="A8" s="2">
        <v>7</v>
      </c>
      <c r="B8" s="2" t="s">
        <v>16</v>
      </c>
      <c r="C8" s="2" t="s">
        <v>7</v>
      </c>
      <c r="D8" s="2">
        <v>1999</v>
      </c>
      <c r="E8" s="2" t="s">
        <v>17</v>
      </c>
      <c r="F8" s="2" t="b">
        <v>0</v>
      </c>
      <c r="G8" s="2">
        <v>45890</v>
      </c>
      <c r="H8" s="3">
        <v>3000</v>
      </c>
      <c r="I8" s="2"/>
      <c r="M8" s="2" t="str">
        <v>Fiat</v>
      </c>
      <c r="N8" s="2">
        <f t="shared" si="0"/>
        <v>16</v>
      </c>
      <c r="O8" s="2">
        <f t="shared" si="1"/>
        <v>1456800</v>
      </c>
    </row>
    <row r="9" spans="1:21" x14ac:dyDescent="0.25">
      <c r="A9" s="2">
        <v>8</v>
      </c>
      <c r="B9" s="2" t="s">
        <v>18</v>
      </c>
      <c r="C9" s="2" t="s">
        <v>19</v>
      </c>
      <c r="D9" s="2">
        <v>1999</v>
      </c>
      <c r="E9" s="2" t="s">
        <v>8</v>
      </c>
      <c r="F9" s="2" t="b">
        <v>0</v>
      </c>
      <c r="G9" s="2">
        <v>90856</v>
      </c>
      <c r="H9" s="3">
        <v>32000</v>
      </c>
      <c r="I9" s="2" t="s">
        <v>20</v>
      </c>
      <c r="M9" s="2" t="str">
        <v>Mazda</v>
      </c>
      <c r="N9" s="2">
        <f t="shared" si="0"/>
        <v>7</v>
      </c>
      <c r="O9" s="2">
        <f t="shared" si="1"/>
        <v>441000</v>
      </c>
    </row>
    <row r="10" spans="1:21" x14ac:dyDescent="0.25">
      <c r="A10" s="2">
        <v>9</v>
      </c>
      <c r="B10" s="2" t="s">
        <v>21</v>
      </c>
      <c r="C10" s="2" t="s">
        <v>7</v>
      </c>
      <c r="D10" s="2">
        <v>1999</v>
      </c>
      <c r="E10" s="2" t="s">
        <v>22</v>
      </c>
      <c r="F10" s="2" t="b">
        <v>1</v>
      </c>
      <c r="G10" s="2">
        <v>60000</v>
      </c>
      <c r="H10" s="3">
        <v>37000</v>
      </c>
      <c r="I10" s="2"/>
      <c r="M10" s="5" t="s">
        <v>36</v>
      </c>
      <c r="N10" s="5">
        <f>SUM(N5:N9)</f>
        <v>60</v>
      </c>
      <c r="O10" s="5">
        <f>SUM(O5:O9)</f>
        <v>5653900</v>
      </c>
    </row>
    <row r="11" spans="1:21" x14ac:dyDescent="0.25">
      <c r="A11" s="2">
        <v>10</v>
      </c>
      <c r="B11" s="2" t="s">
        <v>23</v>
      </c>
      <c r="C11" s="2" t="s">
        <v>7</v>
      </c>
      <c r="D11" s="2">
        <v>1999</v>
      </c>
      <c r="E11" s="2" t="s">
        <v>8</v>
      </c>
      <c r="F11" s="2" t="b">
        <v>0</v>
      </c>
      <c r="G11" s="2">
        <v>18565</v>
      </c>
      <c r="H11" s="3">
        <v>158000</v>
      </c>
      <c r="I11" s="2"/>
    </row>
    <row r="12" spans="1:21" x14ac:dyDescent="0.25">
      <c r="A12" s="2">
        <v>11</v>
      </c>
      <c r="B12" s="2" t="s">
        <v>18</v>
      </c>
      <c r="C12" s="2" t="s">
        <v>19</v>
      </c>
      <c r="D12" s="2">
        <v>1999</v>
      </c>
      <c r="E12" s="2" t="s">
        <v>8</v>
      </c>
      <c r="F12" s="2" t="b">
        <v>0</v>
      </c>
      <c r="G12" s="2">
        <v>11789</v>
      </c>
      <c r="H12" s="3">
        <v>241000</v>
      </c>
      <c r="I12" s="2"/>
    </row>
    <row r="13" spans="1:21" x14ac:dyDescent="0.25">
      <c r="A13" s="2">
        <v>12</v>
      </c>
      <c r="B13" s="2" t="s">
        <v>23</v>
      </c>
      <c r="C13" s="2" t="s">
        <v>7</v>
      </c>
      <c r="D13" s="2">
        <v>1999</v>
      </c>
      <c r="E13" s="2" t="s">
        <v>8</v>
      </c>
      <c r="F13" s="2" t="b">
        <v>0</v>
      </c>
      <c r="G13" s="2">
        <v>260000</v>
      </c>
      <c r="H13" s="3">
        <v>350000</v>
      </c>
      <c r="I13" s="2" t="s">
        <v>20</v>
      </c>
      <c r="L13" s="7" t="s">
        <v>42</v>
      </c>
      <c r="M13" s="7" t="s">
        <v>41</v>
      </c>
      <c r="N13" s="7" t="s">
        <v>43</v>
      </c>
      <c r="O13" s="7" t="s">
        <v>44</v>
      </c>
      <c r="P13" s="6" t="str" cm="1">
        <f t="array" ref="P13:U13">TRANSPOSE(_xlfn.UNIQUE($E$2:$E$61,0))</f>
        <v>žlutá</v>
      </c>
      <c r="Q13" s="6" t="str">
        <v>bílá</v>
      </c>
      <c r="R13" s="6" t="str">
        <v>modrá</v>
      </c>
      <c r="S13" s="6" t="str">
        <v>zelená</v>
      </c>
      <c r="T13" s="6" t="str">
        <v>černá</v>
      </c>
      <c r="U13" s="6" t="str">
        <v>červená</v>
      </c>
    </row>
    <row r="14" spans="1:21" x14ac:dyDescent="0.25">
      <c r="A14" s="2">
        <v>13</v>
      </c>
      <c r="B14" s="2" t="s">
        <v>24</v>
      </c>
      <c r="C14" s="2" t="s">
        <v>7</v>
      </c>
      <c r="D14" s="2">
        <v>2000</v>
      </c>
      <c r="E14" s="2" t="s">
        <v>8</v>
      </c>
      <c r="F14" s="2" t="b">
        <v>0</v>
      </c>
      <c r="G14" s="2">
        <v>78000</v>
      </c>
      <c r="H14" s="3">
        <v>95000</v>
      </c>
      <c r="I14" s="2"/>
      <c r="L14" s="2" t="str" cm="1">
        <f t="array" ref="L14:L28">_xlfn.UNIQUE(B2:B61)</f>
        <v>Favorit</v>
      </c>
      <c r="M14" s="2" t="str">
        <f>_xlfn.XLOOKUP($L14,$B$2:$B$61,$C$2:$C$61)</f>
        <v>Škoda</v>
      </c>
      <c r="N14" s="2">
        <f>COUNTIFS($B$2:$B$61,$L14,$C$2:$C$61,$M14)</f>
        <v>6</v>
      </c>
      <c r="O14" s="2">
        <f>SUMIFS($H$2:$H$61,$B$2:$B$61,$L14,$C$2:$C$61,M14)</f>
        <v>522900</v>
      </c>
      <c r="P14" s="2">
        <f>COUNTIFS($B$2:$B$61,$L14,$C$2:$C$61,$M14,$E$2:$E$61,$P$13)</f>
        <v>4</v>
      </c>
      <c r="Q14" s="2">
        <f>COUNTIFS($B$2:$B$61,$L14,$C$2:$C$61,$M14,$E$2:$E$61,$Q$13)</f>
        <v>0</v>
      </c>
      <c r="R14" s="2">
        <f>COUNTIFS($B$2:$B$61,$L14,$C$2:$C$61,$M14,$E$2:$E$61,$R$13)</f>
        <v>2</v>
      </c>
      <c r="S14" s="2">
        <f>COUNTIFS($B$2:$B$61,$L14,$C$2:$C$61,$M14,$E$2:$E$61,$S$13)</f>
        <v>0</v>
      </c>
      <c r="T14" s="2">
        <f>COUNTIFS($B$2:$B$61,$L14,$C$2:$C$61,$M14,$E$2:$E$61,$T$13)</f>
        <v>0</v>
      </c>
      <c r="U14" s="2">
        <f>COUNTIFS($B$2:$B$61,$L14,$C$2:$C$61,$M14,$E$2:$E$61,$U$13)</f>
        <v>0</v>
      </c>
    </row>
    <row r="15" spans="1:21" x14ac:dyDescent="0.25">
      <c r="A15" s="2">
        <v>14</v>
      </c>
      <c r="B15" s="2" t="s">
        <v>6</v>
      </c>
      <c r="C15" s="2" t="s">
        <v>7</v>
      </c>
      <c r="D15" s="2">
        <v>2000</v>
      </c>
      <c r="E15" s="2" t="s">
        <v>17</v>
      </c>
      <c r="F15" s="2" t="b">
        <v>1</v>
      </c>
      <c r="G15" s="2">
        <v>102502</v>
      </c>
      <c r="H15" s="3">
        <v>36000</v>
      </c>
      <c r="I15" s="2"/>
      <c r="L15" s="2" t="str">
        <v>Mondeo</v>
      </c>
      <c r="M15" s="2" t="str">
        <f>_xlfn.XLOOKUP($L15,$B$2:$B$61,$C$2:$C$61)</f>
        <v>Ford</v>
      </c>
      <c r="N15" s="2">
        <f>COUNTIFS($B$2:$B$61,$L15,$C$2:$C$61,$M15)</f>
        <v>6</v>
      </c>
      <c r="O15" s="2">
        <f>SUMIFS($H$2:$H$61,$B$2:$B$61,$L15,$C$2:$C$61,M15)</f>
        <v>578000</v>
      </c>
      <c r="P15" s="2">
        <f t="shared" ref="P15:P28" si="2">COUNTIFS($B$2:$B$61,$L15,$C$2:$C$61,$M15,$E$2:$E$61,$P$13)</f>
        <v>3</v>
      </c>
      <c r="Q15" s="2">
        <f t="shared" ref="Q15:Q28" si="3">COUNTIFS($B$2:$B$61,$L15,$C$2:$C$61,$M15,$E$2:$E$61,$Q$13)</f>
        <v>3</v>
      </c>
      <c r="R15" s="2">
        <f t="shared" ref="R15:R28" si="4">COUNTIFS($B$2:$B$61,$L15,$C$2:$C$61,$M15,$E$2:$E$61,$R$13)</f>
        <v>0</v>
      </c>
      <c r="S15" s="2">
        <f t="shared" ref="S15:S28" si="5">COUNTIFS($B$2:$B$61,$L15,$C$2:$C$61,$M15,$E$2:$E$61,$S$13)</f>
        <v>0</v>
      </c>
      <c r="T15" s="2">
        <f t="shared" ref="T15:T28" si="6">COUNTIFS($B$2:$B$61,$L15,$C$2:$C$61,$M15,$E$2:$E$61,$T$13)</f>
        <v>0</v>
      </c>
      <c r="U15" s="2">
        <f t="shared" ref="U15:U28" si="7">COUNTIFS($B$2:$B$61,$L15,$C$2:$C$61,$M15,$E$2:$E$61,$U$13)</f>
        <v>0</v>
      </c>
    </row>
    <row r="16" spans="1:21" x14ac:dyDescent="0.25">
      <c r="A16" s="2">
        <v>15</v>
      </c>
      <c r="B16" s="2" t="s">
        <v>16</v>
      </c>
      <c r="C16" s="2" t="s">
        <v>7</v>
      </c>
      <c r="D16" s="2">
        <v>1999</v>
      </c>
      <c r="E16" s="2" t="s">
        <v>8</v>
      </c>
      <c r="F16" s="2" t="b">
        <v>0</v>
      </c>
      <c r="G16" s="2">
        <v>250000</v>
      </c>
      <c r="H16" s="3">
        <v>360000</v>
      </c>
      <c r="I16" s="2"/>
      <c r="L16" s="2" t="str">
        <v>Yaris</v>
      </c>
      <c r="M16" s="2" t="str">
        <f>_xlfn.XLOOKUP($L16,$B$2:$B$61,$C$2:$C$61)</f>
        <v>Toyota</v>
      </c>
      <c r="N16" s="2">
        <f>COUNTIFS($B$2:$B$61,$L16,$C$2:$C$61,$M16)</f>
        <v>2</v>
      </c>
      <c r="O16" s="2">
        <f>SUMIFS($H$2:$H$61,$B$2:$B$61,$L16,$C$2:$C$61,M16)</f>
        <v>126000</v>
      </c>
      <c r="P16" s="2">
        <f t="shared" si="2"/>
        <v>0</v>
      </c>
      <c r="Q16" s="2">
        <f t="shared" si="3"/>
        <v>2</v>
      </c>
      <c r="R16" s="2">
        <f t="shared" si="4"/>
        <v>0</v>
      </c>
      <c r="S16" s="2">
        <f t="shared" si="5"/>
        <v>0</v>
      </c>
      <c r="T16" s="2">
        <f t="shared" si="6"/>
        <v>0</v>
      </c>
      <c r="U16" s="2">
        <f t="shared" si="7"/>
        <v>0</v>
      </c>
    </row>
    <row r="17" spans="1:21" x14ac:dyDescent="0.25">
      <c r="A17" s="2">
        <v>16</v>
      </c>
      <c r="B17" s="2" t="s">
        <v>23</v>
      </c>
      <c r="C17" s="2" t="s">
        <v>7</v>
      </c>
      <c r="D17" s="2">
        <v>1997</v>
      </c>
      <c r="E17" s="2" t="s">
        <v>8</v>
      </c>
      <c r="F17" s="2" t="b">
        <v>0</v>
      </c>
      <c r="G17" s="2">
        <v>58000</v>
      </c>
      <c r="H17" s="3">
        <v>64000</v>
      </c>
      <c r="I17" s="2"/>
      <c r="L17" s="2" t="str">
        <v>Corrola</v>
      </c>
      <c r="M17" s="2" t="str">
        <f>_xlfn.XLOOKUP($L17,$B$2:$B$61,$C$2:$C$61)</f>
        <v>Toyota</v>
      </c>
      <c r="N17" s="2">
        <f>COUNTIFS($B$2:$B$61,$L17,$C$2:$C$61,$M17)</f>
        <v>3</v>
      </c>
      <c r="O17" s="2">
        <f>SUMIFS($H$2:$H$61,$B$2:$B$61,$L17,$C$2:$C$61,M17)</f>
        <v>122000</v>
      </c>
      <c r="P17" s="2">
        <f t="shared" si="2"/>
        <v>1</v>
      </c>
      <c r="Q17" s="2">
        <f t="shared" si="3"/>
        <v>0</v>
      </c>
      <c r="R17" s="2">
        <f t="shared" si="4"/>
        <v>1</v>
      </c>
      <c r="S17" s="2">
        <f t="shared" si="5"/>
        <v>0</v>
      </c>
      <c r="T17" s="2">
        <f t="shared" si="6"/>
        <v>0</v>
      </c>
      <c r="U17" s="2">
        <f t="shared" si="7"/>
        <v>1</v>
      </c>
    </row>
    <row r="18" spans="1:21" x14ac:dyDescent="0.25">
      <c r="A18" s="2">
        <v>17</v>
      </c>
      <c r="B18" s="2" t="s">
        <v>18</v>
      </c>
      <c r="C18" s="2" t="s">
        <v>19</v>
      </c>
      <c r="D18" s="2">
        <v>1997</v>
      </c>
      <c r="E18" s="2" t="s">
        <v>8</v>
      </c>
      <c r="F18" s="2" t="b">
        <v>1</v>
      </c>
      <c r="G18" s="2">
        <v>24800</v>
      </c>
      <c r="H18" s="3">
        <v>142000</v>
      </c>
      <c r="I18" s="2" t="s">
        <v>20</v>
      </c>
      <c r="L18" s="2" t="str">
        <v>Forman</v>
      </c>
      <c r="M18" s="2" t="str">
        <f>_xlfn.XLOOKUP($L18,$B$2:$B$61,$C$2:$C$61)</f>
        <v>Škoda</v>
      </c>
      <c r="N18" s="2">
        <f>COUNTIFS($B$2:$B$61,$L18,$C$2:$C$61,$M18)</f>
        <v>4</v>
      </c>
      <c r="O18" s="2">
        <f>SUMIFS($H$2:$H$61,$B$2:$B$61,$L18,$C$2:$C$61,M18)</f>
        <v>518200</v>
      </c>
      <c r="P18" s="2">
        <f t="shared" si="2"/>
        <v>1</v>
      </c>
      <c r="Q18" s="2">
        <f t="shared" si="3"/>
        <v>0</v>
      </c>
      <c r="R18" s="2">
        <f t="shared" si="4"/>
        <v>2</v>
      </c>
      <c r="S18" s="2">
        <f t="shared" si="5"/>
        <v>1</v>
      </c>
      <c r="T18" s="2">
        <f t="shared" si="6"/>
        <v>0</v>
      </c>
      <c r="U18" s="2">
        <f t="shared" si="7"/>
        <v>0</v>
      </c>
    </row>
    <row r="19" spans="1:21" x14ac:dyDescent="0.25">
      <c r="A19" s="2">
        <v>18</v>
      </c>
      <c r="B19" s="2" t="s">
        <v>10</v>
      </c>
      <c r="C19" s="2" t="s">
        <v>11</v>
      </c>
      <c r="D19" s="2">
        <v>1998</v>
      </c>
      <c r="E19" s="2" t="s">
        <v>8</v>
      </c>
      <c r="F19" s="2" t="b">
        <v>1</v>
      </c>
      <c r="G19" s="2">
        <v>14000</v>
      </c>
      <c r="H19" s="3">
        <v>153000</v>
      </c>
      <c r="I19" s="2" t="s">
        <v>25</v>
      </c>
      <c r="L19" s="2" t="str">
        <v>Punto</v>
      </c>
      <c r="M19" s="2" t="str">
        <f>_xlfn.XLOOKUP($L19,$B$2:$B$61,$C$2:$C$61)</f>
        <v>Fiat</v>
      </c>
      <c r="N19" s="2">
        <f>COUNTIFS($B$2:$B$61,$L19,$C$2:$C$61,$M19)</f>
        <v>7</v>
      </c>
      <c r="O19" s="2">
        <f>SUMIFS($H$2:$H$61,$B$2:$B$61,$L19,$C$2:$C$61,M19)</f>
        <v>778000</v>
      </c>
      <c r="P19" s="2">
        <f t="shared" si="2"/>
        <v>6</v>
      </c>
      <c r="Q19" s="2">
        <f t="shared" si="3"/>
        <v>0</v>
      </c>
      <c r="R19" s="2">
        <f t="shared" si="4"/>
        <v>0</v>
      </c>
      <c r="S19" s="2">
        <f t="shared" si="5"/>
        <v>1</v>
      </c>
      <c r="T19" s="2">
        <f t="shared" si="6"/>
        <v>0</v>
      </c>
      <c r="U19" s="2">
        <f t="shared" si="7"/>
        <v>0</v>
      </c>
    </row>
    <row r="20" spans="1:21" x14ac:dyDescent="0.25">
      <c r="A20" s="2">
        <v>19</v>
      </c>
      <c r="B20" s="2" t="s">
        <v>18</v>
      </c>
      <c r="C20" s="2" t="s">
        <v>19</v>
      </c>
      <c r="D20" s="2">
        <v>1999</v>
      </c>
      <c r="E20" s="2" t="s">
        <v>8</v>
      </c>
      <c r="F20" s="2" t="b">
        <v>0</v>
      </c>
      <c r="G20" s="2">
        <v>103450</v>
      </c>
      <c r="H20" s="3">
        <v>41000</v>
      </c>
      <c r="I20" s="2" t="s">
        <v>25</v>
      </c>
      <c r="L20" s="2" t="str">
        <v>Octavie</v>
      </c>
      <c r="M20" s="2" t="str">
        <f>_xlfn.XLOOKUP($L20,$B$2:$B$61,$C$2:$C$61)</f>
        <v>Škoda</v>
      </c>
      <c r="N20" s="2">
        <f>COUNTIFS($B$2:$B$61,$L20,$C$2:$C$61,$M20)</f>
        <v>3</v>
      </c>
      <c r="O20" s="2">
        <f>SUMIFS($H$2:$H$61,$B$2:$B$61,$L20,$C$2:$C$61,M20)</f>
        <v>131000</v>
      </c>
      <c r="P20" s="2">
        <f t="shared" si="2"/>
        <v>0</v>
      </c>
      <c r="Q20" s="2">
        <f t="shared" si="3"/>
        <v>1</v>
      </c>
      <c r="R20" s="2">
        <f t="shared" si="4"/>
        <v>0</v>
      </c>
      <c r="S20" s="2">
        <f t="shared" si="5"/>
        <v>2</v>
      </c>
      <c r="T20" s="2">
        <f t="shared" si="6"/>
        <v>0</v>
      </c>
      <c r="U20" s="2">
        <f t="shared" si="7"/>
        <v>0</v>
      </c>
    </row>
    <row r="21" spans="1:21" x14ac:dyDescent="0.25">
      <c r="A21" s="2">
        <v>20</v>
      </c>
      <c r="B21" s="2" t="s">
        <v>26</v>
      </c>
      <c r="C21" s="2" t="s">
        <v>19</v>
      </c>
      <c r="D21" s="2">
        <v>1998</v>
      </c>
      <c r="E21" s="2" t="s">
        <v>22</v>
      </c>
      <c r="F21" s="2" t="b">
        <v>0</v>
      </c>
      <c r="G21" s="2">
        <v>175620</v>
      </c>
      <c r="H21" s="3">
        <v>151600</v>
      </c>
      <c r="I21" s="2"/>
      <c r="L21" s="2" t="str">
        <v>Felicie</v>
      </c>
      <c r="M21" s="2" t="str">
        <f>_xlfn.XLOOKUP($L21,$B$2:$B$61,$C$2:$C$61)</f>
        <v>Škoda</v>
      </c>
      <c r="N21" s="2">
        <f>COUNTIFS($B$2:$B$61,$L21,$C$2:$C$61,$M21)</f>
        <v>6</v>
      </c>
      <c r="O21" s="2">
        <f>SUMIFS($H$2:$H$61,$B$2:$B$61,$L21,$C$2:$C$61,M21)</f>
        <v>1129000</v>
      </c>
      <c r="P21" s="2">
        <f t="shared" si="2"/>
        <v>5</v>
      </c>
      <c r="Q21" s="2">
        <f t="shared" si="3"/>
        <v>0</v>
      </c>
      <c r="R21" s="2">
        <f t="shared" si="4"/>
        <v>0</v>
      </c>
      <c r="S21" s="2">
        <f t="shared" si="5"/>
        <v>0</v>
      </c>
      <c r="T21" s="2">
        <f t="shared" si="6"/>
        <v>0</v>
      </c>
      <c r="U21" s="2">
        <f t="shared" si="7"/>
        <v>1</v>
      </c>
    </row>
    <row r="22" spans="1:21" x14ac:dyDescent="0.25">
      <c r="A22" s="2">
        <v>21</v>
      </c>
      <c r="B22" s="2" t="s">
        <v>27</v>
      </c>
      <c r="C22" s="2" t="s">
        <v>28</v>
      </c>
      <c r="D22" s="2">
        <v>1998</v>
      </c>
      <c r="E22" s="2" t="s">
        <v>12</v>
      </c>
      <c r="F22" s="2" t="b">
        <v>0</v>
      </c>
      <c r="G22" s="2">
        <v>75432</v>
      </c>
      <c r="H22" s="3">
        <v>45400</v>
      </c>
      <c r="I22" s="2"/>
      <c r="L22" s="2" t="str">
        <v>Fabie</v>
      </c>
      <c r="M22" s="2" t="str">
        <f>_xlfn.XLOOKUP($L22,$B$2:$B$61,$C$2:$C$61)</f>
        <v>Škoda</v>
      </c>
      <c r="N22" s="2">
        <f>COUNTIFS($B$2:$B$61,$L22,$C$2:$C$61,$M22)</f>
        <v>3</v>
      </c>
      <c r="O22" s="2">
        <f>SUMIFS($H$2:$H$61,$B$2:$B$61,$L22,$C$2:$C$61,M22)</f>
        <v>411000</v>
      </c>
      <c r="P22" s="2">
        <f t="shared" si="2"/>
        <v>2</v>
      </c>
      <c r="Q22" s="2">
        <f t="shared" si="3"/>
        <v>0</v>
      </c>
      <c r="R22" s="2">
        <f t="shared" si="4"/>
        <v>0</v>
      </c>
      <c r="S22" s="2">
        <f t="shared" si="5"/>
        <v>0</v>
      </c>
      <c r="T22" s="2">
        <f t="shared" si="6"/>
        <v>1</v>
      </c>
      <c r="U22" s="2">
        <f t="shared" si="7"/>
        <v>0</v>
      </c>
    </row>
    <row r="23" spans="1:21" x14ac:dyDescent="0.25">
      <c r="A23" s="2">
        <v>22</v>
      </c>
      <c r="B23" s="2" t="s">
        <v>29</v>
      </c>
      <c r="C23" s="2" t="s">
        <v>11</v>
      </c>
      <c r="D23" s="2">
        <v>1996</v>
      </c>
      <c r="E23" s="2" t="s">
        <v>12</v>
      </c>
      <c r="F23" s="2" t="b">
        <v>0</v>
      </c>
      <c r="G23" s="2">
        <v>25000</v>
      </c>
      <c r="H23" s="3">
        <v>58000</v>
      </c>
      <c r="I23" s="2"/>
      <c r="L23" s="2" t="str">
        <v>Bravo</v>
      </c>
      <c r="M23" s="2" t="str">
        <f>_xlfn.XLOOKUP($L23,$B$2:$B$61,$C$2:$C$61)</f>
        <v>Fiat</v>
      </c>
      <c r="N23" s="2">
        <f>COUNTIFS($B$2:$B$61,$L23,$C$2:$C$61,$M23)</f>
        <v>6</v>
      </c>
      <c r="O23" s="2">
        <f>SUMIFS($H$2:$H$61,$B$2:$B$61,$L23,$C$2:$C$61,M23)</f>
        <v>541800</v>
      </c>
      <c r="P23" s="2">
        <f t="shared" si="2"/>
        <v>0</v>
      </c>
      <c r="Q23" s="2">
        <f t="shared" si="3"/>
        <v>0</v>
      </c>
      <c r="R23" s="2">
        <f t="shared" si="4"/>
        <v>1</v>
      </c>
      <c r="S23" s="2">
        <f t="shared" si="5"/>
        <v>3</v>
      </c>
      <c r="T23" s="2">
        <f t="shared" si="6"/>
        <v>0</v>
      </c>
      <c r="U23" s="2">
        <f t="shared" si="7"/>
        <v>2</v>
      </c>
    </row>
    <row r="24" spans="1:21" x14ac:dyDescent="0.25">
      <c r="A24" s="2">
        <v>23</v>
      </c>
      <c r="B24" s="2" t="s">
        <v>30</v>
      </c>
      <c r="C24" s="2" t="s">
        <v>11</v>
      </c>
      <c r="D24" s="2">
        <v>1997</v>
      </c>
      <c r="E24" s="2" t="s">
        <v>12</v>
      </c>
      <c r="F24" s="2" t="b">
        <v>1</v>
      </c>
      <c r="G24" s="2">
        <v>36562</v>
      </c>
      <c r="H24" s="3">
        <v>43000</v>
      </c>
      <c r="I24" s="2" t="s">
        <v>9</v>
      </c>
      <c r="L24" s="2" t="str">
        <v>Mazda323</v>
      </c>
      <c r="M24" s="2" t="str">
        <f>_xlfn.XLOOKUP($L24,$B$2:$B$61,$C$2:$C$61)</f>
        <v>Mazda</v>
      </c>
      <c r="N24" s="2">
        <f>COUNTIFS($B$2:$B$61,$L24,$C$2:$C$61,$M24)</f>
        <v>4</v>
      </c>
      <c r="O24" s="2">
        <f>SUMIFS($H$2:$H$61,$B$2:$B$61,$L24,$C$2:$C$61,M24)</f>
        <v>189000</v>
      </c>
      <c r="P24" s="2">
        <f t="shared" si="2"/>
        <v>0</v>
      </c>
      <c r="Q24" s="2">
        <f t="shared" si="3"/>
        <v>3</v>
      </c>
      <c r="R24" s="2">
        <f t="shared" si="4"/>
        <v>0</v>
      </c>
      <c r="S24" s="2">
        <f t="shared" si="5"/>
        <v>0</v>
      </c>
      <c r="T24" s="2">
        <f t="shared" si="6"/>
        <v>1</v>
      </c>
      <c r="U24" s="2">
        <f t="shared" si="7"/>
        <v>0</v>
      </c>
    </row>
    <row r="25" spans="1:21" x14ac:dyDescent="0.25">
      <c r="A25" s="2">
        <v>24</v>
      </c>
      <c r="B25" s="2" t="s">
        <v>27</v>
      </c>
      <c r="C25" s="2" t="s">
        <v>28</v>
      </c>
      <c r="D25" s="2">
        <v>1998</v>
      </c>
      <c r="E25" s="2" t="s">
        <v>12</v>
      </c>
      <c r="F25" s="2" t="b">
        <v>0</v>
      </c>
      <c r="G25" s="2">
        <v>15232</v>
      </c>
      <c r="H25" s="3">
        <v>85300</v>
      </c>
      <c r="I25" s="2"/>
      <c r="L25" s="2" t="str">
        <v>Escort</v>
      </c>
      <c r="M25" s="2" t="str">
        <f>_xlfn.XLOOKUP($L25,$B$2:$B$61,$C$2:$C$61)</f>
        <v>Ford</v>
      </c>
      <c r="N25" s="2">
        <f>COUNTIFS($B$2:$B$61,$L25,$C$2:$C$61,$M25)</f>
        <v>2</v>
      </c>
      <c r="O25" s="2">
        <f>SUMIFS($H$2:$H$61,$B$2:$B$61,$L25,$C$2:$C$61,M25)</f>
        <v>112000</v>
      </c>
      <c r="P25" s="2">
        <f t="shared" si="2"/>
        <v>0</v>
      </c>
      <c r="Q25" s="2">
        <f t="shared" si="3"/>
        <v>1</v>
      </c>
      <c r="R25" s="2">
        <f t="shared" si="4"/>
        <v>0</v>
      </c>
      <c r="S25" s="2">
        <f t="shared" si="5"/>
        <v>0</v>
      </c>
      <c r="T25" s="2">
        <f t="shared" si="6"/>
        <v>1</v>
      </c>
      <c r="U25" s="2">
        <f t="shared" si="7"/>
        <v>0</v>
      </c>
    </row>
    <row r="26" spans="1:21" x14ac:dyDescent="0.25">
      <c r="A26" s="2">
        <v>25</v>
      </c>
      <c r="B26" s="2" t="s">
        <v>31</v>
      </c>
      <c r="C26" s="2" t="s">
        <v>28</v>
      </c>
      <c r="D26" s="2">
        <v>1997</v>
      </c>
      <c r="E26" s="2" t="s">
        <v>12</v>
      </c>
      <c r="F26" s="2" t="b">
        <v>1</v>
      </c>
      <c r="G26" s="2">
        <v>15142</v>
      </c>
      <c r="H26" s="3">
        <v>75000</v>
      </c>
      <c r="I26" s="2" t="s">
        <v>20</v>
      </c>
      <c r="L26" s="2" t="str">
        <v>Fiesta</v>
      </c>
      <c r="M26" s="2" t="str">
        <f>_xlfn.XLOOKUP($L26,$B$2:$B$61,$C$2:$C$61)</f>
        <v>Ford</v>
      </c>
      <c r="N26" s="2">
        <f>COUNTIFS($B$2:$B$61,$L26,$C$2:$C$61,$M26)</f>
        <v>2</v>
      </c>
      <c r="O26" s="2">
        <f>SUMIFS($H$2:$H$61,$B$2:$B$61,$L26,$C$2:$C$61,M26)</f>
        <v>106000</v>
      </c>
      <c r="P26" s="2">
        <f t="shared" si="2"/>
        <v>0</v>
      </c>
      <c r="Q26" s="2">
        <f t="shared" si="3"/>
        <v>1</v>
      </c>
      <c r="R26" s="2">
        <f t="shared" si="4"/>
        <v>0</v>
      </c>
      <c r="S26" s="2">
        <f t="shared" si="5"/>
        <v>0</v>
      </c>
      <c r="T26" s="2">
        <f t="shared" si="6"/>
        <v>0</v>
      </c>
      <c r="U26" s="2">
        <f t="shared" si="7"/>
        <v>1</v>
      </c>
    </row>
    <row r="27" spans="1:21" x14ac:dyDescent="0.25">
      <c r="A27" s="2">
        <v>26</v>
      </c>
      <c r="B27" s="2" t="s">
        <v>10</v>
      </c>
      <c r="C27" s="2" t="s">
        <v>11</v>
      </c>
      <c r="D27" s="2">
        <v>1998</v>
      </c>
      <c r="E27" s="2" t="s">
        <v>12</v>
      </c>
      <c r="F27" s="2" t="b">
        <v>0</v>
      </c>
      <c r="G27" s="2">
        <v>254453</v>
      </c>
      <c r="H27" s="3">
        <v>52000</v>
      </c>
      <c r="I27" s="2" t="s">
        <v>20</v>
      </c>
      <c r="L27" s="2" t="str">
        <v>Mazda626</v>
      </c>
      <c r="M27" s="2" t="str">
        <f>_xlfn.XLOOKUP($L27,$B$2:$B$61,$C$2:$C$61)</f>
        <v>Mazda</v>
      </c>
      <c r="N27" s="2">
        <f>COUNTIFS($B$2:$B$61,$L27,$C$2:$C$61,$M27)</f>
        <v>3</v>
      </c>
      <c r="O27" s="2">
        <f>SUMIFS($H$2:$H$61,$B$2:$B$61,$L27,$C$2:$C$61,M27)</f>
        <v>252000</v>
      </c>
      <c r="P27" s="2">
        <f t="shared" si="2"/>
        <v>2</v>
      </c>
      <c r="Q27" s="2">
        <f t="shared" si="3"/>
        <v>1</v>
      </c>
      <c r="R27" s="2">
        <f t="shared" si="4"/>
        <v>0</v>
      </c>
      <c r="S27" s="2">
        <f t="shared" si="5"/>
        <v>0</v>
      </c>
      <c r="T27" s="2">
        <f t="shared" si="6"/>
        <v>0</v>
      </c>
      <c r="U27" s="2">
        <f t="shared" si="7"/>
        <v>0</v>
      </c>
    </row>
    <row r="28" spans="1:21" x14ac:dyDescent="0.25">
      <c r="A28" s="2">
        <v>27</v>
      </c>
      <c r="B28" s="2" t="s">
        <v>21</v>
      </c>
      <c r="C28" s="2" t="s">
        <v>7</v>
      </c>
      <c r="D28" s="2">
        <v>1996</v>
      </c>
      <c r="E28" s="2" t="s">
        <v>12</v>
      </c>
      <c r="F28" s="2" t="b">
        <v>1</v>
      </c>
      <c r="G28" s="2">
        <v>25613</v>
      </c>
      <c r="H28" s="3">
        <v>57000</v>
      </c>
      <c r="I28" s="2"/>
      <c r="L28" s="2" t="str">
        <v>Marea</v>
      </c>
      <c r="M28" s="2" t="str">
        <f>_xlfn.XLOOKUP($L28,$B$2:$B$61,$C$2:$C$61)</f>
        <v>Fiat</v>
      </c>
      <c r="N28" s="2">
        <f>COUNTIFS($B$2:$B$61,$L28,$C$2:$C$61,$M28)</f>
        <v>3</v>
      </c>
      <c r="O28" s="2">
        <f>SUMIFS($H$2:$H$61,$B$2:$B$61,$L28,$C$2:$C$61,M28)</f>
        <v>137000</v>
      </c>
      <c r="P28" s="2">
        <f t="shared" si="2"/>
        <v>2</v>
      </c>
      <c r="Q28" s="2">
        <f t="shared" si="3"/>
        <v>0</v>
      </c>
      <c r="R28" s="2">
        <f t="shared" si="4"/>
        <v>1</v>
      </c>
      <c r="S28" s="2">
        <f t="shared" si="5"/>
        <v>0</v>
      </c>
      <c r="T28" s="2">
        <f t="shared" si="6"/>
        <v>0</v>
      </c>
      <c r="U28" s="2">
        <f t="shared" si="7"/>
        <v>0</v>
      </c>
    </row>
    <row r="29" spans="1:21" x14ac:dyDescent="0.25">
      <c r="A29" s="2">
        <v>28</v>
      </c>
      <c r="B29" s="2" t="s">
        <v>13</v>
      </c>
      <c r="C29" s="2" t="s">
        <v>14</v>
      </c>
      <c r="D29" s="2">
        <v>1999</v>
      </c>
      <c r="E29" s="2" t="s">
        <v>12</v>
      </c>
      <c r="F29" s="2" t="b">
        <v>1</v>
      </c>
      <c r="G29" s="2">
        <v>34562</v>
      </c>
      <c r="H29" s="3">
        <v>63000</v>
      </c>
      <c r="I29" s="2"/>
      <c r="L29" s="8" t="s">
        <v>45</v>
      </c>
      <c r="M29" s="8"/>
      <c r="N29" s="8">
        <f>SUM(N14:N28)</f>
        <v>60</v>
      </c>
      <c r="O29" s="8">
        <f>SUM(O14:O28)</f>
        <v>5653900</v>
      </c>
      <c r="P29" s="8">
        <f t="shared" ref="P29:U29" si="8">SUM(P14:P28)</f>
        <v>26</v>
      </c>
      <c r="Q29" s="8">
        <f t="shared" si="8"/>
        <v>12</v>
      </c>
      <c r="R29" s="8">
        <f t="shared" si="8"/>
        <v>7</v>
      </c>
      <c r="S29" s="8">
        <f t="shared" si="8"/>
        <v>7</v>
      </c>
      <c r="T29" s="8">
        <f t="shared" si="8"/>
        <v>3</v>
      </c>
      <c r="U29" s="8">
        <f t="shared" si="8"/>
        <v>5</v>
      </c>
    </row>
    <row r="30" spans="1:21" x14ac:dyDescent="0.25">
      <c r="A30" s="2">
        <v>29</v>
      </c>
      <c r="B30" s="2" t="s">
        <v>29</v>
      </c>
      <c r="C30" s="2" t="s">
        <v>11</v>
      </c>
      <c r="D30" s="2">
        <v>1995</v>
      </c>
      <c r="E30" s="2" t="s">
        <v>32</v>
      </c>
      <c r="F30" s="2" t="b">
        <v>0</v>
      </c>
      <c r="G30" s="2">
        <v>48536</v>
      </c>
      <c r="H30" s="3">
        <v>54000</v>
      </c>
      <c r="I30" s="2" t="s">
        <v>9</v>
      </c>
    </row>
    <row r="31" spans="1:21" x14ac:dyDescent="0.25">
      <c r="A31" s="2">
        <v>30</v>
      </c>
      <c r="B31" s="2" t="s">
        <v>24</v>
      </c>
      <c r="C31" s="2" t="s">
        <v>7</v>
      </c>
      <c r="D31" s="2">
        <v>1997</v>
      </c>
      <c r="E31" s="2" t="s">
        <v>32</v>
      </c>
      <c r="F31" s="2" t="b">
        <v>0</v>
      </c>
      <c r="G31" s="2">
        <v>59612</v>
      </c>
      <c r="H31" s="3">
        <v>36000</v>
      </c>
      <c r="I31" s="2" t="s">
        <v>20</v>
      </c>
    </row>
    <row r="32" spans="1:21" x14ac:dyDescent="0.25">
      <c r="A32" s="2">
        <v>31</v>
      </c>
      <c r="B32" s="2" t="s">
        <v>27</v>
      </c>
      <c r="C32" s="2" t="s">
        <v>28</v>
      </c>
      <c r="D32" s="2">
        <v>1995</v>
      </c>
      <c r="E32" s="2" t="s">
        <v>32</v>
      </c>
      <c r="F32" s="2" t="b">
        <v>1</v>
      </c>
      <c r="G32" s="2">
        <v>256214</v>
      </c>
      <c r="H32" s="3">
        <v>13000</v>
      </c>
      <c r="I32" s="2" t="s">
        <v>25</v>
      </c>
    </row>
    <row r="33" spans="1:12" x14ac:dyDescent="0.25">
      <c r="A33" s="2">
        <v>32</v>
      </c>
      <c r="B33" s="2" t="s">
        <v>26</v>
      </c>
      <c r="C33" s="2" t="s">
        <v>19</v>
      </c>
      <c r="D33" s="2">
        <v>1996</v>
      </c>
      <c r="E33" s="2" t="s">
        <v>33</v>
      </c>
      <c r="F33" s="2" t="b">
        <v>0</v>
      </c>
      <c r="G33" s="2">
        <v>269822</v>
      </c>
      <c r="H33" s="3">
        <v>32000</v>
      </c>
      <c r="I33" s="2" t="s">
        <v>25</v>
      </c>
    </row>
    <row r="34" spans="1:12" x14ac:dyDescent="0.25">
      <c r="A34" s="2">
        <v>33</v>
      </c>
      <c r="B34" s="2" t="s">
        <v>26</v>
      </c>
      <c r="C34" s="2" t="s">
        <v>19</v>
      </c>
      <c r="D34" s="2">
        <v>1998</v>
      </c>
      <c r="E34" s="2" t="s">
        <v>33</v>
      </c>
      <c r="F34" s="2" t="b">
        <v>1</v>
      </c>
      <c r="G34" s="2">
        <v>588546</v>
      </c>
      <c r="H34" s="3">
        <v>32000</v>
      </c>
      <c r="I34" s="2" t="s">
        <v>25</v>
      </c>
    </row>
    <row r="35" spans="1:12" x14ac:dyDescent="0.25">
      <c r="A35" s="2">
        <v>34</v>
      </c>
      <c r="B35" s="2" t="s">
        <v>15</v>
      </c>
      <c r="C35" s="2" t="s">
        <v>14</v>
      </c>
      <c r="D35" s="2">
        <v>1999</v>
      </c>
      <c r="E35" s="2" t="s">
        <v>33</v>
      </c>
      <c r="F35" s="2" t="b">
        <v>1</v>
      </c>
      <c r="G35" s="2">
        <v>658963</v>
      </c>
      <c r="H35" s="3">
        <v>38000</v>
      </c>
      <c r="I35" s="2"/>
    </row>
    <row r="36" spans="1:12" x14ac:dyDescent="0.25">
      <c r="A36" s="2">
        <v>35</v>
      </c>
      <c r="B36" s="2" t="s">
        <v>23</v>
      </c>
      <c r="C36" s="2" t="s">
        <v>7</v>
      </c>
      <c r="D36" s="2">
        <v>1997</v>
      </c>
      <c r="E36" s="2" t="s">
        <v>33</v>
      </c>
      <c r="F36" s="2" t="b">
        <v>0</v>
      </c>
      <c r="G36" s="2">
        <v>21542</v>
      </c>
      <c r="H36" s="3">
        <v>41000</v>
      </c>
      <c r="I36" s="2"/>
      <c r="L36" t="s">
        <v>54</v>
      </c>
    </row>
    <row r="37" spans="1:12" x14ac:dyDescent="0.25">
      <c r="A37" s="2">
        <v>36</v>
      </c>
      <c r="B37" s="2" t="s">
        <v>30</v>
      </c>
      <c r="C37" s="2" t="s">
        <v>11</v>
      </c>
      <c r="D37" s="2">
        <v>1997</v>
      </c>
      <c r="E37" s="2" t="s">
        <v>33</v>
      </c>
      <c r="F37" s="2" t="b">
        <v>0</v>
      </c>
      <c r="G37" s="2">
        <v>16544</v>
      </c>
      <c r="H37" s="3">
        <v>63000</v>
      </c>
      <c r="I37" s="2"/>
    </row>
    <row r="38" spans="1:12" x14ac:dyDescent="0.25">
      <c r="A38" s="2">
        <v>37</v>
      </c>
      <c r="B38" s="2" t="s">
        <v>26</v>
      </c>
      <c r="C38" s="2" t="s">
        <v>19</v>
      </c>
      <c r="D38" s="2">
        <v>1995</v>
      </c>
      <c r="E38" s="2" t="s">
        <v>17</v>
      </c>
      <c r="F38" s="2" t="b">
        <v>1</v>
      </c>
      <c r="G38" s="2">
        <v>205022</v>
      </c>
      <c r="H38" s="3">
        <v>25000</v>
      </c>
      <c r="I38" s="2" t="s">
        <v>9</v>
      </c>
      <c r="L38" t="s">
        <v>46</v>
      </c>
    </row>
    <row r="39" spans="1:12" x14ac:dyDescent="0.25">
      <c r="A39" s="2">
        <v>38</v>
      </c>
      <c r="B39" s="2" t="s">
        <v>15</v>
      </c>
      <c r="C39" s="2" t="s">
        <v>14</v>
      </c>
      <c r="D39" s="2">
        <v>1994</v>
      </c>
      <c r="E39" s="2" t="s">
        <v>17</v>
      </c>
      <c r="F39" s="2" t="b">
        <v>0</v>
      </c>
      <c r="G39" s="2">
        <v>165140</v>
      </c>
      <c r="H39" s="3">
        <v>36000</v>
      </c>
      <c r="I39" s="2" t="s">
        <v>9</v>
      </c>
      <c r="L39" t="s">
        <v>47</v>
      </c>
    </row>
    <row r="40" spans="1:12" x14ac:dyDescent="0.25">
      <c r="A40" s="2">
        <v>39</v>
      </c>
      <c r="B40" s="2" t="s">
        <v>6</v>
      </c>
      <c r="C40" s="2" t="s">
        <v>7</v>
      </c>
      <c r="D40" s="2">
        <v>2000</v>
      </c>
      <c r="E40" s="2" t="s">
        <v>17</v>
      </c>
      <c r="F40" s="2" t="b">
        <v>1</v>
      </c>
      <c r="G40" s="2">
        <v>202502</v>
      </c>
      <c r="H40" s="3">
        <v>204300</v>
      </c>
      <c r="I40" s="2"/>
      <c r="L40" t="s">
        <v>48</v>
      </c>
    </row>
    <row r="41" spans="1:12" x14ac:dyDescent="0.25">
      <c r="A41" s="2">
        <v>40</v>
      </c>
      <c r="B41" s="2" t="s">
        <v>16</v>
      </c>
      <c r="C41" s="2" t="s">
        <v>7</v>
      </c>
      <c r="D41" s="2">
        <v>1999</v>
      </c>
      <c r="E41" s="2" t="s">
        <v>17</v>
      </c>
      <c r="F41" s="2" t="b">
        <v>0</v>
      </c>
      <c r="G41" s="2">
        <v>51225</v>
      </c>
      <c r="H41" s="3">
        <v>95000</v>
      </c>
      <c r="I41" s="2"/>
      <c r="L41" t="s">
        <v>52</v>
      </c>
    </row>
    <row r="42" spans="1:12" x14ac:dyDescent="0.25">
      <c r="A42" s="2">
        <v>41</v>
      </c>
      <c r="B42" s="2" t="s">
        <v>34</v>
      </c>
      <c r="C42" s="2" t="s">
        <v>19</v>
      </c>
      <c r="D42" s="2">
        <v>1997</v>
      </c>
      <c r="E42" s="2" t="s">
        <v>17</v>
      </c>
      <c r="F42" s="2" t="b">
        <v>1</v>
      </c>
      <c r="G42" s="2">
        <v>13000</v>
      </c>
      <c r="H42" s="3">
        <v>75000</v>
      </c>
      <c r="I42" s="2" t="s">
        <v>20</v>
      </c>
      <c r="L42" t="s">
        <v>49</v>
      </c>
    </row>
    <row r="43" spans="1:12" x14ac:dyDescent="0.25">
      <c r="A43" s="2">
        <v>42</v>
      </c>
      <c r="B43" s="2" t="s">
        <v>26</v>
      </c>
      <c r="C43" s="2" t="s">
        <v>19</v>
      </c>
      <c r="D43" s="2">
        <v>1998</v>
      </c>
      <c r="E43" s="2" t="s">
        <v>22</v>
      </c>
      <c r="F43" s="2" t="b">
        <v>1</v>
      </c>
      <c r="G43" s="2">
        <v>25620</v>
      </c>
      <c r="H43" s="3">
        <v>150600</v>
      </c>
      <c r="I43" s="2"/>
      <c r="L43" t="s">
        <v>53</v>
      </c>
    </row>
    <row r="44" spans="1:12" x14ac:dyDescent="0.25">
      <c r="A44" s="2">
        <v>43</v>
      </c>
      <c r="B44" s="2" t="s">
        <v>16</v>
      </c>
      <c r="C44" s="2" t="s">
        <v>7</v>
      </c>
      <c r="D44" s="2">
        <v>1995</v>
      </c>
      <c r="E44" s="2" t="s">
        <v>22</v>
      </c>
      <c r="F44" s="2" t="b">
        <v>0</v>
      </c>
      <c r="G44" s="2">
        <v>46085</v>
      </c>
      <c r="H44" s="3">
        <v>60200</v>
      </c>
      <c r="I44" s="2"/>
      <c r="L44" t="s">
        <v>50</v>
      </c>
    </row>
    <row r="45" spans="1:12" x14ac:dyDescent="0.25">
      <c r="A45" s="2">
        <v>44</v>
      </c>
      <c r="B45" s="2" t="s">
        <v>21</v>
      </c>
      <c r="C45" s="2" t="s">
        <v>7</v>
      </c>
      <c r="D45" s="2">
        <v>1999</v>
      </c>
      <c r="E45" s="2" t="s">
        <v>22</v>
      </c>
      <c r="F45" s="2" t="b">
        <v>0</v>
      </c>
      <c r="G45" s="2">
        <v>590324</v>
      </c>
      <c r="H45" s="3">
        <v>37000</v>
      </c>
      <c r="I45" s="2" t="s">
        <v>20</v>
      </c>
      <c r="L45" t="s">
        <v>51</v>
      </c>
    </row>
    <row r="46" spans="1:12" x14ac:dyDescent="0.25">
      <c r="A46" s="2">
        <v>45</v>
      </c>
      <c r="B46" s="2" t="s">
        <v>18</v>
      </c>
      <c r="C46" s="2" t="s">
        <v>19</v>
      </c>
      <c r="D46" s="2">
        <v>1994</v>
      </c>
      <c r="E46" s="2" t="s">
        <v>22</v>
      </c>
      <c r="F46" s="2" t="b">
        <v>1</v>
      </c>
      <c r="G46" s="2">
        <v>140500</v>
      </c>
      <c r="H46" s="3">
        <v>35000</v>
      </c>
      <c r="I46" s="2" t="s">
        <v>25</v>
      </c>
    </row>
    <row r="47" spans="1:12" x14ac:dyDescent="0.25">
      <c r="A47" s="2">
        <v>46</v>
      </c>
      <c r="B47" s="2" t="s">
        <v>24</v>
      </c>
      <c r="C47" s="2" t="s">
        <v>7</v>
      </c>
      <c r="D47" s="2">
        <v>2000</v>
      </c>
      <c r="E47" s="2" t="s">
        <v>8</v>
      </c>
      <c r="F47" s="2" t="b">
        <v>0</v>
      </c>
      <c r="G47" s="2">
        <v>602520</v>
      </c>
      <c r="H47" s="3">
        <v>280000</v>
      </c>
      <c r="I47" s="2" t="s">
        <v>25</v>
      </c>
    </row>
    <row r="48" spans="1:12" x14ac:dyDescent="0.25">
      <c r="A48" s="2">
        <v>47</v>
      </c>
      <c r="B48" s="2" t="s">
        <v>6</v>
      </c>
      <c r="C48" s="2" t="s">
        <v>7</v>
      </c>
      <c r="D48" s="2">
        <v>1998</v>
      </c>
      <c r="E48" s="2" t="s">
        <v>8</v>
      </c>
      <c r="F48" s="2" t="b">
        <v>1</v>
      </c>
      <c r="G48" s="2">
        <v>502020</v>
      </c>
      <c r="H48" s="3">
        <v>63000</v>
      </c>
      <c r="I48" s="2" t="s">
        <v>25</v>
      </c>
    </row>
    <row r="49" spans="1:9" x14ac:dyDescent="0.25">
      <c r="A49" s="2">
        <v>48</v>
      </c>
      <c r="B49" s="2" t="s">
        <v>23</v>
      </c>
      <c r="C49" s="2" t="s">
        <v>7</v>
      </c>
      <c r="D49" s="2">
        <v>1999</v>
      </c>
      <c r="E49" s="2" t="s">
        <v>8</v>
      </c>
      <c r="F49" s="2" t="b">
        <v>0</v>
      </c>
      <c r="G49" s="2">
        <v>14326</v>
      </c>
      <c r="H49" s="3">
        <v>156000</v>
      </c>
      <c r="I49" s="2"/>
    </row>
    <row r="50" spans="1:9" x14ac:dyDescent="0.25">
      <c r="A50" s="2">
        <v>49</v>
      </c>
      <c r="B50" s="2" t="s">
        <v>34</v>
      </c>
      <c r="C50" s="2" t="s">
        <v>19</v>
      </c>
      <c r="D50" s="2">
        <v>1997</v>
      </c>
      <c r="E50" s="2" t="s">
        <v>8</v>
      </c>
      <c r="F50" s="2" t="b">
        <v>0</v>
      </c>
      <c r="G50" s="2">
        <v>320256</v>
      </c>
      <c r="H50" s="3">
        <v>18000</v>
      </c>
      <c r="I50" s="2"/>
    </row>
    <row r="51" spans="1:9" x14ac:dyDescent="0.25">
      <c r="A51" s="2">
        <v>50</v>
      </c>
      <c r="B51" s="2" t="s">
        <v>31</v>
      </c>
      <c r="C51" s="2" t="s">
        <v>28</v>
      </c>
      <c r="D51" s="2">
        <v>1997</v>
      </c>
      <c r="E51" s="2" t="s">
        <v>8</v>
      </c>
      <c r="F51" s="2" t="b">
        <v>1</v>
      </c>
      <c r="G51" s="2">
        <v>16025</v>
      </c>
      <c r="H51" s="3">
        <v>75000</v>
      </c>
      <c r="I51" s="2"/>
    </row>
    <row r="52" spans="1:9" x14ac:dyDescent="0.25">
      <c r="A52" s="2">
        <v>51</v>
      </c>
      <c r="B52" s="2" t="s">
        <v>10</v>
      </c>
      <c r="C52" s="2" t="s">
        <v>11</v>
      </c>
      <c r="D52" s="2">
        <v>1998</v>
      </c>
      <c r="E52" s="2" t="s">
        <v>8</v>
      </c>
      <c r="F52" s="2" t="b">
        <v>1</v>
      </c>
      <c r="G52" s="2">
        <v>53205</v>
      </c>
      <c r="H52" s="3">
        <v>102500</v>
      </c>
      <c r="I52" s="2"/>
    </row>
    <row r="53" spans="1:9" x14ac:dyDescent="0.25">
      <c r="A53" s="2">
        <v>52</v>
      </c>
      <c r="B53" s="2" t="s">
        <v>18</v>
      </c>
      <c r="C53" s="2" t="s">
        <v>19</v>
      </c>
      <c r="D53" s="2">
        <v>1999</v>
      </c>
      <c r="E53" s="2" t="s">
        <v>8</v>
      </c>
      <c r="F53" s="2" t="b">
        <v>0</v>
      </c>
      <c r="G53" s="2">
        <v>14605</v>
      </c>
      <c r="H53" s="3">
        <v>256000</v>
      </c>
      <c r="I53" s="2" t="s">
        <v>9</v>
      </c>
    </row>
    <row r="54" spans="1:9" x14ac:dyDescent="0.25">
      <c r="A54" s="2">
        <v>53</v>
      </c>
      <c r="B54" s="2" t="s">
        <v>6</v>
      </c>
      <c r="C54" s="2" t="s">
        <v>7</v>
      </c>
      <c r="D54" s="2">
        <v>1998</v>
      </c>
      <c r="E54" s="2" t="s">
        <v>8</v>
      </c>
      <c r="F54" s="2" t="b">
        <v>1</v>
      </c>
      <c r="G54" s="2">
        <v>14500</v>
      </c>
      <c r="H54" s="3">
        <v>76300</v>
      </c>
      <c r="I54" s="2" t="s">
        <v>9</v>
      </c>
    </row>
    <row r="55" spans="1:9" x14ac:dyDescent="0.25">
      <c r="A55" s="2">
        <v>54</v>
      </c>
      <c r="B55" s="2" t="s">
        <v>23</v>
      </c>
      <c r="C55" s="2" t="s">
        <v>7</v>
      </c>
      <c r="D55" s="2">
        <v>1999</v>
      </c>
      <c r="E55" s="2" t="s">
        <v>8</v>
      </c>
      <c r="F55" s="2" t="b">
        <v>0</v>
      </c>
      <c r="G55" s="2">
        <v>250000</v>
      </c>
      <c r="H55" s="3">
        <v>360000</v>
      </c>
      <c r="I55" s="2"/>
    </row>
    <row r="56" spans="1:9" x14ac:dyDescent="0.25">
      <c r="A56" s="2">
        <v>55</v>
      </c>
      <c r="B56" s="2" t="s">
        <v>34</v>
      </c>
      <c r="C56" s="2" t="s">
        <v>19</v>
      </c>
      <c r="D56" s="2">
        <v>1997</v>
      </c>
      <c r="E56" s="2" t="s">
        <v>8</v>
      </c>
      <c r="F56" s="2" t="b">
        <v>0</v>
      </c>
      <c r="G56" s="2">
        <v>89000</v>
      </c>
      <c r="H56" s="3">
        <v>44000</v>
      </c>
      <c r="I56" s="2"/>
    </row>
    <row r="57" spans="1:9" x14ac:dyDescent="0.25">
      <c r="A57" s="2">
        <v>56</v>
      </c>
      <c r="B57" s="2" t="s">
        <v>31</v>
      </c>
      <c r="C57" s="2" t="s">
        <v>28</v>
      </c>
      <c r="D57" s="2">
        <v>1997</v>
      </c>
      <c r="E57" s="2" t="s">
        <v>8</v>
      </c>
      <c r="F57" s="2" t="b">
        <v>1</v>
      </c>
      <c r="G57" s="2">
        <v>14800</v>
      </c>
      <c r="H57" s="3">
        <v>102000</v>
      </c>
      <c r="I57" s="2" t="s">
        <v>20</v>
      </c>
    </row>
    <row r="58" spans="1:9" x14ac:dyDescent="0.25">
      <c r="A58" s="2">
        <v>57</v>
      </c>
      <c r="B58" s="2" t="s">
        <v>10</v>
      </c>
      <c r="C58" s="2" t="s">
        <v>11</v>
      </c>
      <c r="D58" s="2">
        <v>1998</v>
      </c>
      <c r="E58" s="2" t="s">
        <v>8</v>
      </c>
      <c r="F58" s="2" t="b">
        <v>1</v>
      </c>
      <c r="G58" s="2">
        <v>9000</v>
      </c>
      <c r="H58" s="3">
        <v>123000</v>
      </c>
      <c r="I58" s="2" t="s">
        <v>25</v>
      </c>
    </row>
    <row r="59" spans="1:9" x14ac:dyDescent="0.25">
      <c r="A59" s="2">
        <v>58</v>
      </c>
      <c r="B59" s="2" t="s">
        <v>18</v>
      </c>
      <c r="C59" s="2" t="s">
        <v>19</v>
      </c>
      <c r="D59" s="2">
        <v>1999</v>
      </c>
      <c r="E59" s="2" t="s">
        <v>8</v>
      </c>
      <c r="F59" s="2" t="b">
        <v>0</v>
      </c>
      <c r="G59" s="2">
        <v>102450</v>
      </c>
      <c r="H59" s="3">
        <v>31000</v>
      </c>
      <c r="I59" s="2" t="s">
        <v>25</v>
      </c>
    </row>
    <row r="60" spans="1:9" x14ac:dyDescent="0.25">
      <c r="A60" s="2">
        <v>59</v>
      </c>
      <c r="B60" s="2" t="s">
        <v>26</v>
      </c>
      <c r="C60" s="2" t="s">
        <v>19</v>
      </c>
      <c r="D60" s="2">
        <v>1998</v>
      </c>
      <c r="E60" s="2" t="s">
        <v>22</v>
      </c>
      <c r="F60" s="2" t="b">
        <v>0</v>
      </c>
      <c r="G60" s="2">
        <v>115620</v>
      </c>
      <c r="H60" s="3">
        <v>150600</v>
      </c>
      <c r="I60" s="2"/>
    </row>
    <row r="61" spans="1:9" x14ac:dyDescent="0.25">
      <c r="A61" s="2">
        <v>60</v>
      </c>
      <c r="B61" s="2" t="s">
        <v>27</v>
      </c>
      <c r="C61" s="2" t="s">
        <v>28</v>
      </c>
      <c r="D61" s="2">
        <v>1998</v>
      </c>
      <c r="E61" s="2" t="s">
        <v>12</v>
      </c>
      <c r="F61" s="2" t="b">
        <v>0</v>
      </c>
      <c r="G61" s="2">
        <v>75232</v>
      </c>
      <c r="H61" s="3">
        <v>45300</v>
      </c>
      <c r="I61" s="2"/>
    </row>
    <row r="62" spans="1:9" x14ac:dyDescent="0.25">
      <c r="H62" s="1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27405-8015-4B6E-8AE5-A0743618384D}">
  <dimension ref="A1"/>
  <sheetViews>
    <sheetView workbookViewId="0"/>
  </sheetViews>
  <sheetFormatPr defaultRowHeight="12.6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bazar</vt:lpstr>
      <vt:lpstr>Sheet1</vt:lpstr>
      <vt:lpstr>bazar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slama</dc:creator>
  <cp:lastModifiedBy>Halyna Kaida</cp:lastModifiedBy>
  <dcterms:created xsi:type="dcterms:W3CDTF">2011-02-22T08:33:08Z</dcterms:created>
  <dcterms:modified xsi:type="dcterms:W3CDTF">2025-12-02T16:23:13Z</dcterms:modified>
</cp:coreProperties>
</file>